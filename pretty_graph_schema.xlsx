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blaze\Documents\R Workspace\ns_gender_project\"/>
    </mc:Choice>
  </mc:AlternateContent>
  <xr:revisionPtr revIDLastSave="0" documentId="13_ncr:1_{83B63FD8-50CE-4BD1-B322-8F7E281D8E7E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2" i="1"/>
  <c r="K3" i="1" a="1"/>
  <c r="K3" i="1" s="1"/>
  <c r="K5" i="1" a="1"/>
  <c r="K5" i="1" s="1"/>
  <c r="K6" i="1" a="1"/>
  <c r="K6" i="1" s="1"/>
  <c r="K8" i="1" a="1"/>
  <c r="K8" i="1" s="1"/>
  <c r="K9" i="1" a="1"/>
  <c r="K9" i="1" s="1"/>
  <c r="K11" i="1" a="1"/>
  <c r="K11" i="1" s="1"/>
  <c r="K12" i="1" a="1"/>
  <c r="K12" i="1" s="1"/>
  <c r="K14" i="1" a="1"/>
  <c r="K14" i="1" s="1"/>
  <c r="K15" i="1" a="1"/>
  <c r="K15" i="1" s="1"/>
  <c r="K17" i="1" a="1"/>
  <c r="K17" i="1" s="1"/>
  <c r="K18" i="1" a="1"/>
  <c r="K18" i="1" s="1"/>
  <c r="K20" i="1" a="1"/>
  <c r="K20" i="1" s="1"/>
  <c r="K21" i="1" a="1"/>
  <c r="K21" i="1" s="1"/>
  <c r="K22" i="1" a="1"/>
  <c r="K22" i="1" s="1"/>
  <c r="K23" i="1" a="1"/>
  <c r="K23" i="1" s="1"/>
  <c r="K24" i="1" a="1"/>
  <c r="K24" i="1" s="1"/>
  <c r="K25" i="1" a="1"/>
  <c r="K25" i="1" s="1"/>
  <c r="K26" i="1" a="1"/>
  <c r="K26" i="1" s="1"/>
  <c r="K27" i="1" a="1"/>
  <c r="K27" i="1" s="1"/>
  <c r="K28" i="1" a="1"/>
  <c r="K28" i="1" s="1"/>
  <c r="K29" i="1" a="1"/>
  <c r="K29" i="1" s="1"/>
  <c r="K30" i="1" a="1"/>
  <c r="K30" i="1" s="1"/>
  <c r="K31" i="1" a="1"/>
  <c r="K31" i="1" s="1"/>
  <c r="K2" i="1" a="1"/>
  <c r="K2" i="1" s="1"/>
  <c r="I21" i="1" a="1"/>
  <c r="I21" i="1" s="1"/>
  <c r="I22" i="1" a="1"/>
  <c r="I22" i="1" s="1"/>
  <c r="I23" i="1" a="1"/>
  <c r="I23" i="1" s="1"/>
  <c r="I24" i="1" a="1"/>
  <c r="I24" i="1" s="1"/>
  <c r="I25" i="1" a="1"/>
  <c r="I25" i="1" s="1"/>
  <c r="I26" i="1" a="1"/>
  <c r="I26" i="1" s="1"/>
  <c r="I27" i="1" a="1"/>
  <c r="I27" i="1" s="1"/>
  <c r="I28" i="1" a="1"/>
  <c r="I28" i="1" s="1"/>
  <c r="I29" i="1" a="1"/>
  <c r="I29" i="1" s="1"/>
  <c r="I30" i="1" a="1"/>
  <c r="I30" i="1" s="1"/>
  <c r="I31" i="1" a="1"/>
  <c r="I31" i="1" s="1"/>
  <c r="I20" i="1" a="1"/>
  <c r="I20" i="1" s="1"/>
  <c r="J3" i="1" a="1"/>
  <c r="J3" i="1" s="1"/>
  <c r="J4" i="1" a="1"/>
  <c r="J4" i="1" s="1"/>
  <c r="K4" i="1" s="1" a="1"/>
  <c r="K4" i="1" s="1"/>
  <c r="J5" i="1" a="1"/>
  <c r="J5" i="1" s="1"/>
  <c r="J6" i="1" a="1"/>
  <c r="J6" i="1" s="1"/>
  <c r="J7" i="1" a="1"/>
  <c r="J7" i="1" s="1"/>
  <c r="K7" i="1" s="1" a="1"/>
  <c r="K7" i="1" s="1"/>
  <c r="J8" i="1" a="1"/>
  <c r="J8" i="1" s="1"/>
  <c r="J9" i="1" a="1"/>
  <c r="J9" i="1" s="1"/>
  <c r="J10" i="1" a="1"/>
  <c r="J10" i="1" s="1"/>
  <c r="K10" i="1" s="1" a="1"/>
  <c r="K10" i="1" s="1"/>
  <c r="J11" i="1" a="1"/>
  <c r="J11" i="1" s="1"/>
  <c r="J12" i="1" a="1"/>
  <c r="J12" i="1" s="1"/>
  <c r="J13" i="1" a="1"/>
  <c r="J13" i="1" s="1"/>
  <c r="K13" i="1" s="1" a="1"/>
  <c r="K13" i="1" s="1"/>
  <c r="J14" i="1" a="1"/>
  <c r="J14" i="1" s="1"/>
  <c r="J15" i="1" a="1"/>
  <c r="J15" i="1" s="1"/>
  <c r="J16" i="1" a="1"/>
  <c r="J16" i="1" s="1"/>
  <c r="K16" i="1" s="1" a="1"/>
  <c r="K16" i="1" s="1"/>
  <c r="J17" i="1" a="1"/>
  <c r="J17" i="1" s="1"/>
  <c r="J18" i="1" a="1"/>
  <c r="J18" i="1" s="1"/>
  <c r="J19" i="1" a="1"/>
  <c r="J19" i="1" s="1"/>
  <c r="K19" i="1" s="1" a="1"/>
  <c r="K19" i="1" s="1"/>
  <c r="J2" i="1" a="1"/>
  <c r="J2" i="1" s="1"/>
  <c r="H21" i="1"/>
  <c r="H22" i="1"/>
  <c r="H23" i="1"/>
  <c r="H24" i="1"/>
  <c r="H25" i="1"/>
  <c r="H26" i="1"/>
  <c r="H27" i="1"/>
  <c r="H28" i="1"/>
  <c r="H29" i="1"/>
  <c r="H30" i="1"/>
  <c r="H31" i="1"/>
  <c r="H20" i="1"/>
  <c r="G21" i="1"/>
  <c r="G22" i="1"/>
  <c r="G23" i="1"/>
  <c r="G24" i="1"/>
  <c r="G25" i="1"/>
  <c r="G26" i="1"/>
  <c r="G27" i="1"/>
  <c r="G28" i="1"/>
  <c r="G29" i="1"/>
  <c r="G30" i="1"/>
  <c r="G31" i="1"/>
  <c r="G20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" i="1"/>
  <c r="H19" i="1"/>
  <c r="H18" i="1"/>
  <c r="H17" i="1"/>
  <c r="H16" i="1"/>
  <c r="H15" i="1"/>
  <c r="H14" i="1"/>
  <c r="H13" i="1"/>
  <c r="H12" i="1"/>
  <c r="H11" i="1"/>
  <c r="H10" i="1"/>
  <c r="H9" i="1"/>
  <c r="H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<sst xmlns="http://schemas.openxmlformats.org/spreadsheetml/2006/main" count="198" uniqueCount="34">
  <si>
    <t>type</t>
  </si>
  <si>
    <t>abs_rel</t>
  </si>
  <si>
    <t>split_sum</t>
  </si>
  <si>
    <t>fa_la</t>
  </si>
  <si>
    <t>base_df</t>
  </si>
  <si>
    <t>x</t>
  </si>
  <si>
    <t>y</t>
  </si>
  <si>
    <t>changed_y</t>
  </si>
  <si>
    <t>shape</t>
  </si>
  <si>
    <t>shape_filt</t>
  </si>
  <si>
    <t>fa</t>
  </si>
  <si>
    <t>basic</t>
  </si>
  <si>
    <t>time_auth_prod</t>
  </si>
  <si>
    <t>scatter</t>
  </si>
  <si>
    <t>la</t>
  </si>
  <si>
    <t>abs</t>
  </si>
  <si>
    <t>rel</t>
  </si>
  <si>
    <t>split</t>
  </si>
  <si>
    <t>sum</t>
  </si>
  <si>
    <t>Female</t>
  </si>
  <si>
    <t>Male</t>
  </si>
  <si>
    <t>Sum</t>
  </si>
  <si>
    <t>subtype</t>
  </si>
  <si>
    <t>auth_</t>
  </si>
  <si>
    <t>prod_</t>
  </si>
  <si>
    <t>art_</t>
  </si>
  <si>
    <t>scatter_prod_</t>
  </si>
  <si>
    <t>fa_sum</t>
  </si>
  <si>
    <t>la_sum</t>
  </si>
  <si>
    <t>Year of Publication</t>
  </si>
  <si>
    <t>Number of Articles</t>
  </si>
  <si>
    <t>scatter_auth_</t>
  </si>
  <si>
    <t>plot_name</t>
  </si>
  <si>
    <t>sep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</si>
</sst>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"/>
  <sheetViews>
    <sheetView tabSelected="1" workbookViewId="0">
      <selection activeCell="L12" sqref="L12"/>
    </sheetView>
  </sheetViews>
  <sheetFormatPr defaultRowHeight="15" x14ac:dyDescent="0.25"/>
  <cols>
    <col min="1" max="2" width="16" customWidth="1"/>
    <col min="5" max="5" width="10.28515625" customWidth="1"/>
    <col min="6" max="6" width="11.7109375" customWidth="1"/>
    <col min="7" max="7" width="22.7109375" customWidth="1"/>
    <col min="8" max="8" width="11.7109375" customWidth="1"/>
    <col min="9" max="9" width="28.7109375" customWidth="1"/>
    <col min="10" max="10" width="26.28515625" customWidth="1"/>
    <col min="11" max="11" width="27.28515625" customWidth="1"/>
    <col min="12" max="12" width="27.5703125" customWidth="1"/>
  </cols>
  <sheetData>
    <row r="1" spans="1:12" s="1" customFormat="1" x14ac:dyDescent="0.25">
      <c r="A1" s="1" t="s">
        <v>0</v>
      </c>
      <c r="B1" s="1" t="s">
        <v>22</v>
      </c>
      <c r="C1" s="1" t="s">
        <v>3</v>
      </c>
      <c r="D1" s="1" t="s">
        <v>1</v>
      </c>
      <c r="E1" s="1" t="s">
        <v>2</v>
      </c>
      <c r="F1" s="1" t="s">
        <v>9</v>
      </c>
      <c r="G1" s="1" t="s">
        <v>32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</row>
    <row r="2" spans="1:12" x14ac:dyDescent="0.25">
      <c r="A2" t="s">
        <v>11</v>
      </c>
      <c r="B2" t="s">
        <v>25</v>
      </c>
      <c r="C2" t="s">
        <v>10</v>
      </c>
      <c r="D2" t="s">
        <v>15</v>
      </c>
      <c r="E2" t="s">
        <v>17</v>
      </c>
      <c r="G2" t="str">
        <f>_xlfn.CONCAT(B2:C2,"_",D2,"_",E2)</f>
        <v>art_fa_abs_split</v>
      </c>
      <c r="H2" t="s">
        <v>27</v>
      </c>
      <c r="I2" t="s">
        <v>29</v>
      </c>
      <c r="J2" t="str" cm="1">
        <f t="array" ref="J2">_xlfn.SWITCH(B2,"art_","Number of Articles","auth_","Number of Unique Authors", "prod_", "Mean Productivity")</f>
        <v>Number of Articles</v>
      </c>
      <c r="K2" cm="1">
        <f t="array" ref="K2">IF(D2="rel",_xlfn.SWITCH(J2,"Number of Articles","Proportion of Articles", "Number of Unique Authors","Proportion of Unique Authors", "Mean Productivity","Productivity Ratio"),)</f>
        <v>0</v>
      </c>
      <c r="L2" t="str">
        <f>_xlfn.CONCAT(IF(B2="auth_","Unique ",),_xlfn.SWITCH(C2,"fa","First Author Gender","la", "Last Author Gender"))</f>
        <v>First Author Gender</v>
      </c>
    </row>
    <row r="3" spans="1:12" x14ac:dyDescent="0.25">
      <c r="A3" t="s">
        <v>11</v>
      </c>
      <c r="B3" t="s">
        <v>25</v>
      </c>
      <c r="C3" t="s">
        <v>10</v>
      </c>
      <c r="D3" t="s">
        <v>15</v>
      </c>
      <c r="E3" t="s">
        <v>18</v>
      </c>
      <c r="G3" t="str">
        <f t="shared" ref="G3:G19" si="0">_xlfn.CONCAT(B3:C3,"_",D3,"_",E3)</f>
        <v>art_fa_abs_sum</v>
      </c>
      <c r="H3" t="s">
        <v>27</v>
      </c>
      <c r="I3" t="s">
        <v>29</v>
      </c>
      <c r="J3" t="str" cm="1">
        <f t="array" ref="J3">_xlfn.SWITCH(B3,"art_","Number of Articles","auth_","Number of Unique Authors", "prod_", "Mean Productivity")</f>
        <v>Number of Articles</v>
      </c>
      <c r="K3" cm="1">
        <f t="array" ref="K3">IF(D3="rel",_xlfn.SWITCH(J3,"Number of Articles","Proportion of Articles", "Number of Unique Authors","Proportion of Unique Authors", "Mean Productivity","Productivity Ratio"),)</f>
        <v>0</v>
      </c>
      <c r="L3" t="str">
        <f t="shared" ref="L3:L31" si="1">_xlfn.CONCAT(IF(B3="auth_","Unique ",),_xlfn.SWITCH(C3,"fa","First Author Gender","la", "Last Author Gender"))</f>
        <v>First Author Gender</v>
      </c>
    </row>
    <row r="4" spans="1:12" x14ac:dyDescent="0.25">
      <c r="A4" t="s">
        <v>11</v>
      </c>
      <c r="B4" t="s">
        <v>25</v>
      </c>
      <c r="C4" t="s">
        <v>10</v>
      </c>
      <c r="D4" t="s">
        <v>16</v>
      </c>
      <c r="E4" t="s">
        <v>17</v>
      </c>
      <c r="G4" t="str">
        <f t="shared" si="0"/>
        <v>art_fa_rel_split</v>
      </c>
      <c r="H4" t="s">
        <v>27</v>
      </c>
      <c r="I4" t="s">
        <v>29</v>
      </c>
      <c r="J4" t="str" cm="1">
        <f t="array" ref="J4">_xlfn.SWITCH(B4,"art_","Number of Articles","auth_","Number of Unique Authors", "prod_", "Mean Productivity")</f>
        <v>Number of Articles</v>
      </c>
      <c r="K4" t="str" cm="1">
        <f t="array" ref="K4">IF(D4="rel",_xlfn.SWITCH(J4,"Number of Articles","Proportion of Articles", "Number of Unique Authors","Proportion of Unique Authors", "Mean Productivity","Productivity Ratio"),)</f>
        <v>Proportion of Articles</v>
      </c>
      <c r="L4" t="str">
        <f t="shared" si="1"/>
        <v>First Author Gender</v>
      </c>
    </row>
    <row r="5" spans="1:12" x14ac:dyDescent="0.25">
      <c r="A5" t="s">
        <v>11</v>
      </c>
      <c r="B5" t="s">
        <v>25</v>
      </c>
      <c r="C5" t="s">
        <v>14</v>
      </c>
      <c r="D5" t="s">
        <v>15</v>
      </c>
      <c r="E5" t="s">
        <v>17</v>
      </c>
      <c r="G5" t="str">
        <f t="shared" si="0"/>
        <v>art_la_abs_split</v>
      </c>
      <c r="H5" t="s">
        <v>28</v>
      </c>
      <c r="I5" t="s">
        <v>29</v>
      </c>
      <c r="J5" t="str" cm="1">
        <f t="array" ref="J5">_xlfn.SWITCH(B5,"art_","Number of Articles","auth_","Number of Unique Authors", "prod_", "Mean Productivity")</f>
        <v>Number of Articles</v>
      </c>
      <c r="K5" cm="1">
        <f t="array" ref="K5">IF(D5="rel",_xlfn.SWITCH(J5,"Number of Articles","Proportion of Articles", "Number of Unique Authors","Proportion of Unique Authors", "Mean Productivity","Productivity Ratio"),)</f>
        <v>0</v>
      </c>
      <c r="L5" t="str">
        <f t="shared" si="1"/>
        <v>Last Author Gender</v>
      </c>
    </row>
    <row r="6" spans="1:12" x14ac:dyDescent="0.25">
      <c r="A6" t="s">
        <v>11</v>
      </c>
      <c r="B6" t="s">
        <v>25</v>
      </c>
      <c r="C6" t="s">
        <v>14</v>
      </c>
      <c r="D6" t="s">
        <v>15</v>
      </c>
      <c r="E6" t="s">
        <v>18</v>
      </c>
      <c r="G6" t="str">
        <f t="shared" si="0"/>
        <v>art_la_abs_sum</v>
      </c>
      <c r="H6" t="s">
        <v>28</v>
      </c>
      <c r="I6" t="s">
        <v>29</v>
      </c>
      <c r="J6" t="str" cm="1">
        <f t="array" ref="J6">_xlfn.SWITCH(B6,"art_","Number of Articles","auth_","Number of Unique Authors", "prod_", "Mean Productivity")</f>
        <v>Number of Articles</v>
      </c>
      <c r="K6" cm="1">
        <f t="array" ref="K6">IF(D6="rel",_xlfn.SWITCH(J6,"Number of Articles","Proportion of Articles", "Number of Unique Authors","Proportion of Unique Authors", "Mean Productivity","Productivity Ratio"),)</f>
        <v>0</v>
      </c>
      <c r="L6" t="str">
        <f t="shared" si="1"/>
        <v>Last Author Gender</v>
      </c>
    </row>
    <row r="7" spans="1:12" x14ac:dyDescent="0.25">
      <c r="A7" t="s">
        <v>11</v>
      </c>
      <c r="B7" t="s">
        <v>25</v>
      </c>
      <c r="C7" t="s">
        <v>14</v>
      </c>
      <c r="D7" t="s">
        <v>16</v>
      </c>
      <c r="E7" t="s">
        <v>17</v>
      </c>
      <c r="G7" t="str">
        <f t="shared" si="0"/>
        <v>art_la_rel_split</v>
      </c>
      <c r="H7" t="s">
        <v>28</v>
      </c>
      <c r="I7" t="s">
        <v>29</v>
      </c>
      <c r="J7" t="str" cm="1">
        <f t="array" ref="J7">_xlfn.SWITCH(B7,"art_","Number of Articles","auth_","Number of Unique Authors", "prod_", "Mean Productivity")</f>
        <v>Number of Articles</v>
      </c>
      <c r="K7" t="str" cm="1">
        <f t="array" ref="K7">IF(D7="rel",_xlfn.SWITCH(J7,"Number of Articles","Proportion of Articles", "Number of Unique Authors","Proportion of Unique Authors", "Mean Productivity","Productivity Ratio"),)</f>
        <v>Proportion of Articles</v>
      </c>
      <c r="L7" t="str">
        <f t="shared" si="1"/>
        <v>Last Author Gender</v>
      </c>
    </row>
    <row r="8" spans="1:12" x14ac:dyDescent="0.25">
      <c r="A8" t="s">
        <v>12</v>
      </c>
      <c r="B8" t="s">
        <v>23</v>
      </c>
      <c r="C8" t="s">
        <v>10</v>
      </c>
      <c r="D8" t="s">
        <v>15</v>
      </c>
      <c r="E8" t="s">
        <v>17</v>
      </c>
      <c r="G8" t="str">
        <f t="shared" si="0"/>
        <v>auth_fa_abs_split</v>
      </c>
      <c r="H8" t="str">
        <f>_xlfn.CONCAT(B8:C8)</f>
        <v>auth_fa</v>
      </c>
      <c r="I8" t="s">
        <v>29</v>
      </c>
      <c r="J8" t="str" cm="1">
        <f t="array" ref="J8">_xlfn.SWITCH(B8,"art_","Number of Articles","auth_","Number of Unique Authors", "prod_", "Mean Productivity")</f>
        <v>Number of Unique Authors</v>
      </c>
      <c r="K8" cm="1">
        <f t="array" ref="K8">IF(D8="rel",_xlfn.SWITCH(J8,"Number of Articles","Proportion of Articles", "Number of Unique Authors","Proportion of Unique Authors", "Mean Productivity","Productivity Ratio"),)</f>
        <v>0</v>
      </c>
      <c r="L8" t="str">
        <f t="shared" si="1"/>
        <v>Unique First Author Gender</v>
      </c>
    </row>
    <row r="9" spans="1:12" x14ac:dyDescent="0.25">
      <c r="A9" t="s">
        <v>12</v>
      </c>
      <c r="B9" t="s">
        <v>23</v>
      </c>
      <c r="C9" t="s">
        <v>10</v>
      </c>
      <c r="D9" t="s">
        <v>15</v>
      </c>
      <c r="E9" t="s">
        <v>18</v>
      </c>
      <c r="G9" t="str">
        <f t="shared" si="0"/>
        <v>auth_fa_abs_sum</v>
      </c>
      <c r="H9" t="str">
        <f t="shared" ref="H9:H19" si="2">_xlfn.CONCAT(B9:C9)</f>
        <v>auth_fa</v>
      </c>
      <c r="I9" t="s">
        <v>29</v>
      </c>
      <c r="J9" t="str" cm="1">
        <f t="array" ref="J9">_xlfn.SWITCH(B9,"art_","Number of Articles","auth_","Number of Unique Authors", "prod_", "Mean Productivity")</f>
        <v>Number of Unique Authors</v>
      </c>
      <c r="K9" cm="1">
        <f t="array" ref="K9">IF(D9="rel",_xlfn.SWITCH(J9,"Number of Articles","Proportion of Articles", "Number of Unique Authors","Proportion of Unique Authors", "Mean Productivity","Productivity Ratio"),)</f>
        <v>0</v>
      </c>
      <c r="L9" t="str">
        <f t="shared" si="1"/>
        <v>Unique First Author Gender</v>
      </c>
    </row>
    <row r="10" spans="1:12" x14ac:dyDescent="0.25">
      <c r="A10" t="s">
        <v>12</v>
      </c>
      <c r="B10" t="s">
        <v>23</v>
      </c>
      <c r="C10" t="s">
        <v>10</v>
      </c>
      <c r="D10" t="s">
        <v>16</v>
      </c>
      <c r="E10" t="s">
        <v>17</v>
      </c>
      <c r="G10" t="str">
        <f t="shared" si="0"/>
        <v>auth_fa_rel_split</v>
      </c>
      <c r="H10" t="str">
        <f t="shared" si="2"/>
        <v>auth_fa</v>
      </c>
      <c r="I10" t="s">
        <v>29</v>
      </c>
      <c r="J10" t="str" cm="1">
        <f t="array" ref="J10">_xlfn.SWITCH(B10,"art_","Number of Articles","auth_","Number of Unique Authors", "prod_", "Mean Productivity")</f>
        <v>Number of Unique Authors</v>
      </c>
      <c r="K10" t="str" cm="1">
        <f t="array" ref="K10">IF(D10="rel",_xlfn.SWITCH(J10,"Number of Articles","Proportion of Articles", "Number of Unique Authors","Proportion of Unique Authors", "Mean Productivity","Productivity Ratio"),)</f>
        <v>Proportion of Unique Authors</v>
      </c>
      <c r="L10" t="str">
        <f t="shared" si="1"/>
        <v>Unique First Author Gender</v>
      </c>
    </row>
    <row r="11" spans="1:12" x14ac:dyDescent="0.25">
      <c r="A11" t="s">
        <v>12</v>
      </c>
      <c r="B11" t="s">
        <v>23</v>
      </c>
      <c r="C11" t="s">
        <v>14</v>
      </c>
      <c r="D11" t="s">
        <v>15</v>
      </c>
      <c r="E11" t="s">
        <v>17</v>
      </c>
      <c r="G11" t="str">
        <f t="shared" si="0"/>
        <v>auth_la_abs_split</v>
      </c>
      <c r="H11" t="str">
        <f t="shared" si="2"/>
        <v>auth_la</v>
      </c>
      <c r="I11" t="s">
        <v>29</v>
      </c>
      <c r="J11" t="str" cm="1">
        <f t="array" ref="J11">_xlfn.SWITCH(B11,"art_","Number of Articles","auth_","Number of Unique Authors", "prod_", "Mean Productivity")</f>
        <v>Number of Unique Authors</v>
      </c>
      <c r="K11" cm="1">
        <f t="array" ref="K11">IF(D11="rel",_xlfn.SWITCH(J11,"Number of Articles","Proportion of Articles", "Number of Unique Authors","Proportion of Unique Authors", "Mean Productivity","Productivity Ratio"),)</f>
        <v>0</v>
      </c>
      <c r="L11" t="str">
        <f t="shared" si="1"/>
        <v>Unique Last Author Gender</v>
      </c>
    </row>
    <row r="12" spans="1:12" x14ac:dyDescent="0.25">
      <c r="A12" t="s">
        <v>12</v>
      </c>
      <c r="B12" t="s">
        <v>23</v>
      </c>
      <c r="C12" t="s">
        <v>14</v>
      </c>
      <c r="D12" t="s">
        <v>15</v>
      </c>
      <c r="E12" t="s">
        <v>18</v>
      </c>
      <c r="G12" t="str">
        <f t="shared" si="0"/>
        <v>auth_la_abs_sum</v>
      </c>
      <c r="H12" t="str">
        <f t="shared" si="2"/>
        <v>auth_la</v>
      </c>
      <c r="I12" t="s">
        <v>29</v>
      </c>
      <c r="J12" t="str" cm="1">
        <f t="array" ref="J12">_xlfn.SWITCH(B12,"art_","Number of Articles","auth_","Number of Unique Authors", "prod_", "Mean Productivity")</f>
        <v>Number of Unique Authors</v>
      </c>
      <c r="K12" cm="1">
        <f t="array" ref="K12">IF(D12="rel",_xlfn.SWITCH(J12,"Number of Articles","Proportion of Articles", "Number of Unique Authors","Proportion of Unique Authors", "Mean Productivity","Productivity Ratio"),)</f>
        <v>0</v>
      </c>
      <c r="L12" t="str">
        <f t="shared" si="1"/>
        <v>Unique Last Author Gender</v>
      </c>
    </row>
    <row r="13" spans="1:12" x14ac:dyDescent="0.25">
      <c r="A13" t="s">
        <v>12</v>
      </c>
      <c r="B13" t="s">
        <v>23</v>
      </c>
      <c r="C13" t="s">
        <v>14</v>
      </c>
      <c r="D13" t="s">
        <v>16</v>
      </c>
      <c r="E13" t="s">
        <v>17</v>
      </c>
      <c r="G13" t="str">
        <f t="shared" si="0"/>
        <v>auth_la_rel_split</v>
      </c>
      <c r="H13" t="str">
        <f t="shared" si="2"/>
        <v>auth_la</v>
      </c>
      <c r="I13" t="s">
        <v>29</v>
      </c>
      <c r="J13" t="str" cm="1">
        <f t="array" ref="J13">_xlfn.SWITCH(B13,"art_","Number of Articles","auth_","Number of Unique Authors", "prod_", "Mean Productivity")</f>
        <v>Number of Unique Authors</v>
      </c>
      <c r="K13" t="str" cm="1">
        <f t="array" ref="K13">IF(D13="rel",_xlfn.SWITCH(J13,"Number of Articles","Proportion of Articles", "Number of Unique Authors","Proportion of Unique Authors", "Mean Productivity","Productivity Ratio"),)</f>
        <v>Proportion of Unique Authors</v>
      </c>
      <c r="L13" t="str">
        <f t="shared" si="1"/>
        <v>Unique Last Author Gender</v>
      </c>
    </row>
    <row r="14" spans="1:12" x14ac:dyDescent="0.25">
      <c r="A14" t="s">
        <v>12</v>
      </c>
      <c r="B14" t="s">
        <v>24</v>
      </c>
      <c r="C14" t="s">
        <v>10</v>
      </c>
      <c r="D14" t="s">
        <v>15</v>
      </c>
      <c r="E14" t="s">
        <v>17</v>
      </c>
      <c r="G14" t="str">
        <f t="shared" si="0"/>
        <v>prod_fa_abs_split</v>
      </c>
      <c r="H14" t="str">
        <f t="shared" si="2"/>
        <v>prod_fa</v>
      </c>
      <c r="I14" t="s">
        <v>29</v>
      </c>
      <c r="J14" t="str" cm="1">
        <f t="array" ref="J14">_xlfn.SWITCH(B14,"art_","Number of Articles","auth_","Number of Unique Authors", "prod_", "Mean Productivity")</f>
        <v>Mean Productivity</v>
      </c>
      <c r="K14" cm="1">
        <f t="array" ref="K14">IF(D14="rel",_xlfn.SWITCH(J14,"Number of Articles","Proportion of Articles", "Number of Unique Authors","Proportion of Unique Authors", "Mean Productivity","Productivity Ratio"),)</f>
        <v>0</v>
      </c>
      <c r="L14" t="str">
        <f t="shared" si="1"/>
        <v>First Author Gender</v>
      </c>
    </row>
    <row r="15" spans="1:12" x14ac:dyDescent="0.25">
      <c r="A15" t="s">
        <v>12</v>
      </c>
      <c r="B15" t="s">
        <v>24</v>
      </c>
      <c r="C15" t="s">
        <v>10</v>
      </c>
      <c r="D15" t="s">
        <v>15</v>
      </c>
      <c r="E15" t="s">
        <v>18</v>
      </c>
      <c r="G15" t="str">
        <f t="shared" si="0"/>
        <v>prod_fa_abs_sum</v>
      </c>
      <c r="H15" t="str">
        <f t="shared" si="2"/>
        <v>prod_fa</v>
      </c>
      <c r="I15" t="s">
        <v>29</v>
      </c>
      <c r="J15" t="str" cm="1">
        <f t="array" ref="J15">_xlfn.SWITCH(B15,"art_","Number of Articles","auth_","Number of Unique Authors", "prod_", "Mean Productivity")</f>
        <v>Mean Productivity</v>
      </c>
      <c r="K15" cm="1">
        <f t="array" ref="K15">IF(D15="rel",_xlfn.SWITCH(J15,"Number of Articles","Proportion of Articles", "Number of Unique Authors","Proportion of Unique Authors", "Mean Productivity","Productivity Ratio"),)</f>
        <v>0</v>
      </c>
      <c r="L15" t="str">
        <f t="shared" si="1"/>
        <v>First Author Gender</v>
      </c>
    </row>
    <row r="16" spans="1:12" x14ac:dyDescent="0.25">
      <c r="A16" t="s">
        <v>12</v>
      </c>
      <c r="B16" t="s">
        <v>24</v>
      </c>
      <c r="C16" t="s">
        <v>10</v>
      </c>
      <c r="D16" t="s">
        <v>16</v>
      </c>
      <c r="E16" t="s">
        <v>17</v>
      </c>
      <c r="G16" t="str">
        <f t="shared" si="0"/>
        <v>prod_fa_rel_split</v>
      </c>
      <c r="H16" t="str">
        <f t="shared" si="2"/>
        <v>prod_fa</v>
      </c>
      <c r="I16" t="s">
        <v>29</v>
      </c>
      <c r="J16" t="str" cm="1">
        <f t="array" ref="J16">_xlfn.SWITCH(B16,"art_","Number of Articles","auth_","Number of Unique Authors", "prod_", "Mean Productivity")</f>
        <v>Mean Productivity</v>
      </c>
      <c r="K16" t="str" cm="1">
        <f t="array" ref="K16">IF(D16="rel",_xlfn.SWITCH(J16,"Number of Articles","Proportion of Articles", "Number of Unique Authors","Proportion of Unique Authors", "Mean Productivity","Productivity Ratio"),)</f>
        <v>Productivity Ratio</v>
      </c>
      <c r="L16" t="str">
        <f t="shared" si="1"/>
        <v>First Author Gender</v>
      </c>
    </row>
    <row r="17" spans="1:12" x14ac:dyDescent="0.25">
      <c r="A17" t="s">
        <v>12</v>
      </c>
      <c r="B17" t="s">
        <v>24</v>
      </c>
      <c r="C17" t="s">
        <v>14</v>
      </c>
      <c r="D17" t="s">
        <v>15</v>
      </c>
      <c r="E17" t="s">
        <v>17</v>
      </c>
      <c r="G17" t="str">
        <f t="shared" si="0"/>
        <v>prod_la_abs_split</v>
      </c>
      <c r="H17" t="str">
        <f t="shared" si="2"/>
        <v>prod_la</v>
      </c>
      <c r="I17" t="s">
        <v>29</v>
      </c>
      <c r="J17" t="str" cm="1">
        <f t="array" ref="J17">_xlfn.SWITCH(B17,"art_","Number of Articles","auth_","Number of Unique Authors", "prod_", "Mean Productivity")</f>
        <v>Mean Productivity</v>
      </c>
      <c r="K17" cm="1">
        <f t="array" ref="K17">IF(D17="rel",_xlfn.SWITCH(J17,"Number of Articles","Proportion of Articles", "Number of Unique Authors","Proportion of Unique Authors", "Mean Productivity","Productivity Ratio"),)</f>
        <v>0</v>
      </c>
      <c r="L17" t="str">
        <f t="shared" si="1"/>
        <v>Last Author Gender</v>
      </c>
    </row>
    <row r="18" spans="1:12" x14ac:dyDescent="0.25">
      <c r="A18" t="s">
        <v>12</v>
      </c>
      <c r="B18" t="s">
        <v>24</v>
      </c>
      <c r="C18" t="s">
        <v>14</v>
      </c>
      <c r="D18" t="s">
        <v>15</v>
      </c>
      <c r="E18" t="s">
        <v>18</v>
      </c>
      <c r="G18" t="str">
        <f t="shared" si="0"/>
        <v>prod_la_abs_sum</v>
      </c>
      <c r="H18" t="str">
        <f t="shared" si="2"/>
        <v>prod_la</v>
      </c>
      <c r="I18" t="s">
        <v>29</v>
      </c>
      <c r="J18" t="str" cm="1">
        <f t="array" ref="J18">_xlfn.SWITCH(B18,"art_","Number of Articles","auth_","Number of Unique Authors", "prod_", "Mean Productivity")</f>
        <v>Mean Productivity</v>
      </c>
      <c r="K18" cm="1">
        <f t="array" ref="K18">IF(D18="rel",_xlfn.SWITCH(J18,"Number of Articles","Proportion of Articles", "Number of Unique Authors","Proportion of Unique Authors", "Mean Productivity","Productivity Ratio"),)</f>
        <v>0</v>
      </c>
      <c r="L18" t="str">
        <f t="shared" si="1"/>
        <v>Last Author Gender</v>
      </c>
    </row>
    <row r="19" spans="1:12" x14ac:dyDescent="0.25">
      <c r="A19" t="s">
        <v>12</v>
      </c>
      <c r="B19" t="s">
        <v>24</v>
      </c>
      <c r="C19" t="s">
        <v>14</v>
      </c>
      <c r="D19" t="s">
        <v>16</v>
      </c>
      <c r="E19" t="s">
        <v>17</v>
      </c>
      <c r="G19" t="str">
        <f t="shared" si="0"/>
        <v>prod_la_rel_split</v>
      </c>
      <c r="H19" t="str">
        <f t="shared" si="2"/>
        <v>prod_la</v>
      </c>
      <c r="I19" t="s">
        <v>29</v>
      </c>
      <c r="J19" t="str" cm="1">
        <f t="array" ref="J19">_xlfn.SWITCH(B19,"art_","Number of Articles","auth_","Number of Unique Authors", "prod_", "Mean Productivity")</f>
        <v>Mean Productivity</v>
      </c>
      <c r="K19" t="str" cm="1">
        <f t="array" ref="K19">IF(D19="rel",_xlfn.SWITCH(J19,"Number of Articles","Proportion of Articles", "Number of Unique Authors","Proportion of Unique Authors", "Mean Productivity","Productivity Ratio"),)</f>
        <v>Productivity Ratio</v>
      </c>
      <c r="L19" t="str">
        <f t="shared" si="1"/>
        <v>Last Author Gender</v>
      </c>
    </row>
    <row r="20" spans="1:12" x14ac:dyDescent="0.25">
      <c r="A20" t="s">
        <v>13</v>
      </c>
      <c r="B20" t="s">
        <v>31</v>
      </c>
      <c r="C20" t="s">
        <v>10</v>
      </c>
      <c r="E20" t="s">
        <v>33</v>
      </c>
      <c r="F20" t="s">
        <v>19</v>
      </c>
      <c r="G20" t="str">
        <f>_xlfn.CONCAT(B20:C20,"_",F20)</f>
        <v>scatter_auth_fa_Female</v>
      </c>
      <c r="H20" t="str">
        <f>_xlfn.CONCAT(C20,"_merged")</f>
        <v>fa_merged</v>
      </c>
      <c r="I20" t="str" cm="1">
        <f t="array" ref="I20">_xlfn.SWITCH(B20,"scatter_auth_","Number of Unique Authors","scatter_prod_","Mean Productivity")</f>
        <v>Number of Unique Authors</v>
      </c>
      <c r="J20" t="s">
        <v>30</v>
      </c>
      <c r="K20" cm="1">
        <f t="array" ref="K20">IF(D20="rel",_xlfn.SWITCH(J20,"Number of Articles","Proportion of Articles", "Number of Unique Authors","Proportion of Unique Authors", "Mean Productivity","Productivity Ratio"),)</f>
        <v>0</v>
      </c>
      <c r="L20" t="str">
        <f t="shared" si="1"/>
        <v>First Author Gender</v>
      </c>
    </row>
    <row r="21" spans="1:12" x14ac:dyDescent="0.25">
      <c r="A21" t="s">
        <v>13</v>
      </c>
      <c r="B21" t="s">
        <v>31</v>
      </c>
      <c r="C21" t="s">
        <v>10</v>
      </c>
      <c r="E21" t="s">
        <v>33</v>
      </c>
      <c r="F21" t="s">
        <v>20</v>
      </c>
      <c r="G21" t="str">
        <f t="shared" ref="G21:G31" si="3">_xlfn.CONCAT(B21:C21,"_",F21)</f>
        <v>scatter_auth_fa_Male</v>
      </c>
      <c r="H21" t="str">
        <f t="shared" ref="H21:H31" si="4">_xlfn.CONCAT(C21,"_merged")</f>
        <v>fa_merged</v>
      </c>
      <c r="I21" t="str" cm="1">
        <f t="array" ref="I21">_xlfn.SWITCH(B21,"scatter_auth_","Number of Unique Authors","scatter_prod_","Mean Productivity")</f>
        <v>Number of Unique Authors</v>
      </c>
      <c r="J21" t="s">
        <v>30</v>
      </c>
      <c r="K21" cm="1">
        <f t="array" ref="K21">IF(D21="rel",_xlfn.SWITCH(J21,"Number of Articles","Proportion of Articles", "Number of Unique Authors","Proportion of Unique Authors", "Mean Productivity","Productivity Ratio"),)</f>
        <v>0</v>
      </c>
      <c r="L21" t="str">
        <f t="shared" si="1"/>
        <v>First Author Gender</v>
      </c>
    </row>
    <row r="22" spans="1:12" x14ac:dyDescent="0.25">
      <c r="A22" t="s">
        <v>13</v>
      </c>
      <c r="B22" t="s">
        <v>31</v>
      </c>
      <c r="C22" t="s">
        <v>10</v>
      </c>
      <c r="E22" t="s">
        <v>33</v>
      </c>
      <c r="F22" t="s">
        <v>21</v>
      </c>
      <c r="G22" t="str">
        <f t="shared" si="3"/>
        <v>scatter_auth_fa_Sum</v>
      </c>
      <c r="H22" t="str">
        <f t="shared" si="4"/>
        <v>fa_merged</v>
      </c>
      <c r="I22" t="str" cm="1">
        <f t="array" ref="I22">_xlfn.SWITCH(B22,"scatter_auth_","Number of Unique Authors","scatter_prod_","Mean Productivity")</f>
        <v>Number of Unique Authors</v>
      </c>
      <c r="J22" t="s">
        <v>30</v>
      </c>
      <c r="K22" cm="1">
        <f t="array" ref="K22">IF(D22="rel",_xlfn.SWITCH(J22,"Number of Articles","Proportion of Articles", "Number of Unique Authors","Proportion of Unique Authors", "Mean Productivity","Productivity Ratio"),)</f>
        <v>0</v>
      </c>
      <c r="L22" t="str">
        <f t="shared" si="1"/>
        <v>First Author Gender</v>
      </c>
    </row>
    <row r="23" spans="1:12" x14ac:dyDescent="0.25">
      <c r="A23" t="s">
        <v>13</v>
      </c>
      <c r="B23" t="s">
        <v>31</v>
      </c>
      <c r="C23" t="s">
        <v>14</v>
      </c>
      <c r="E23" t="s">
        <v>33</v>
      </c>
      <c r="F23" t="s">
        <v>19</v>
      </c>
      <c r="G23" t="str">
        <f t="shared" si="3"/>
        <v>scatter_auth_la_Female</v>
      </c>
      <c r="H23" t="str">
        <f t="shared" si="4"/>
        <v>la_merged</v>
      </c>
      <c r="I23" t="str" cm="1">
        <f t="array" ref="I23">_xlfn.SWITCH(B23,"scatter_auth_","Number of Unique Authors","scatter_prod_","Mean Productivity")</f>
        <v>Number of Unique Authors</v>
      </c>
      <c r="J23" t="s">
        <v>30</v>
      </c>
      <c r="K23" cm="1">
        <f t="array" ref="K23">IF(D23="rel",_xlfn.SWITCH(J23,"Number of Articles","Proportion of Articles", "Number of Unique Authors","Proportion of Unique Authors", "Mean Productivity","Productivity Ratio"),)</f>
        <v>0</v>
      </c>
      <c r="L23" t="str">
        <f t="shared" si="1"/>
        <v>Last Author Gender</v>
      </c>
    </row>
    <row r="24" spans="1:12" x14ac:dyDescent="0.25">
      <c r="A24" t="s">
        <v>13</v>
      </c>
      <c r="B24" t="s">
        <v>31</v>
      </c>
      <c r="C24" t="s">
        <v>14</v>
      </c>
      <c r="E24" t="s">
        <v>33</v>
      </c>
      <c r="F24" t="s">
        <v>20</v>
      </c>
      <c r="G24" t="str">
        <f t="shared" si="3"/>
        <v>scatter_auth_la_Male</v>
      </c>
      <c r="H24" t="str">
        <f t="shared" si="4"/>
        <v>la_merged</v>
      </c>
      <c r="I24" t="str" cm="1">
        <f t="array" ref="I24">_xlfn.SWITCH(B24,"scatter_auth_","Number of Unique Authors","scatter_prod_","Mean Productivity")</f>
        <v>Number of Unique Authors</v>
      </c>
      <c r="J24" t="s">
        <v>30</v>
      </c>
      <c r="K24" cm="1">
        <f t="array" ref="K24">IF(D24="rel",_xlfn.SWITCH(J24,"Number of Articles","Proportion of Articles", "Number of Unique Authors","Proportion of Unique Authors", "Mean Productivity","Productivity Ratio"),)</f>
        <v>0</v>
      </c>
      <c r="L24" t="str">
        <f t="shared" si="1"/>
        <v>Last Author Gender</v>
      </c>
    </row>
    <row r="25" spans="1:12" x14ac:dyDescent="0.25">
      <c r="A25" t="s">
        <v>13</v>
      </c>
      <c r="B25" t="s">
        <v>31</v>
      </c>
      <c r="C25" t="s">
        <v>14</v>
      </c>
      <c r="E25" t="s">
        <v>33</v>
      </c>
      <c r="F25" t="s">
        <v>21</v>
      </c>
      <c r="G25" t="str">
        <f t="shared" si="3"/>
        <v>scatter_auth_la_Sum</v>
      </c>
      <c r="H25" t="str">
        <f t="shared" si="4"/>
        <v>la_merged</v>
      </c>
      <c r="I25" t="str" cm="1">
        <f t="array" ref="I25">_xlfn.SWITCH(B25,"scatter_auth_","Number of Unique Authors","scatter_prod_","Mean Productivity")</f>
        <v>Number of Unique Authors</v>
      </c>
      <c r="J25" t="s">
        <v>30</v>
      </c>
      <c r="K25" cm="1">
        <f t="array" ref="K25">IF(D25="rel",_xlfn.SWITCH(J25,"Number of Articles","Proportion of Articles", "Number of Unique Authors","Proportion of Unique Authors", "Mean Productivity","Productivity Ratio"),)</f>
        <v>0</v>
      </c>
      <c r="L25" t="str">
        <f t="shared" si="1"/>
        <v>Last Author Gender</v>
      </c>
    </row>
    <row r="26" spans="1:12" x14ac:dyDescent="0.25">
      <c r="A26" t="s">
        <v>13</v>
      </c>
      <c r="B26" t="s">
        <v>26</v>
      </c>
      <c r="C26" t="s">
        <v>10</v>
      </c>
      <c r="E26" t="s">
        <v>33</v>
      </c>
      <c r="F26" t="s">
        <v>19</v>
      </c>
      <c r="G26" t="str">
        <f t="shared" si="3"/>
        <v>scatter_prod_fa_Female</v>
      </c>
      <c r="H26" t="str">
        <f t="shared" si="4"/>
        <v>fa_merged</v>
      </c>
      <c r="I26" t="str" cm="1">
        <f t="array" ref="I26">_xlfn.SWITCH(B26,"scatter_auth_","Number of Unique Authors","scatter_prod_","Mean Productivity")</f>
        <v>Mean Productivity</v>
      </c>
      <c r="J26" t="s">
        <v>30</v>
      </c>
      <c r="K26" cm="1">
        <f t="array" ref="K26">IF(D26="rel",_xlfn.SWITCH(J26,"Number of Articles","Proportion of Articles", "Number of Unique Authors","Proportion of Unique Authors", "Mean Productivity","Productivity Ratio"),)</f>
        <v>0</v>
      </c>
      <c r="L26" t="str">
        <f t="shared" si="1"/>
        <v>First Author Gender</v>
      </c>
    </row>
    <row r="27" spans="1:12" x14ac:dyDescent="0.25">
      <c r="A27" t="s">
        <v>13</v>
      </c>
      <c r="B27" t="s">
        <v>26</v>
      </c>
      <c r="C27" t="s">
        <v>10</v>
      </c>
      <c r="E27" t="s">
        <v>33</v>
      </c>
      <c r="F27" t="s">
        <v>20</v>
      </c>
      <c r="G27" t="str">
        <f t="shared" si="3"/>
        <v>scatter_prod_fa_Male</v>
      </c>
      <c r="H27" t="str">
        <f t="shared" si="4"/>
        <v>fa_merged</v>
      </c>
      <c r="I27" t="str" cm="1">
        <f t="array" ref="I27">_xlfn.SWITCH(B27,"scatter_auth_","Number of Unique Authors","scatter_prod_","Mean Productivity")</f>
        <v>Mean Productivity</v>
      </c>
      <c r="J27" t="s">
        <v>30</v>
      </c>
      <c r="K27" cm="1">
        <f t="array" ref="K27">IF(D27="rel",_xlfn.SWITCH(J27,"Number of Articles","Proportion of Articles", "Number of Unique Authors","Proportion of Unique Authors", "Mean Productivity","Productivity Ratio"),)</f>
        <v>0</v>
      </c>
      <c r="L27" t="str">
        <f t="shared" si="1"/>
        <v>First Author Gender</v>
      </c>
    </row>
    <row r="28" spans="1:12" x14ac:dyDescent="0.25">
      <c r="A28" t="s">
        <v>13</v>
      </c>
      <c r="B28" t="s">
        <v>26</v>
      </c>
      <c r="C28" t="s">
        <v>10</v>
      </c>
      <c r="E28" t="s">
        <v>33</v>
      </c>
      <c r="F28" t="s">
        <v>21</v>
      </c>
      <c r="G28" t="str">
        <f t="shared" si="3"/>
        <v>scatter_prod_fa_Sum</v>
      </c>
      <c r="H28" t="str">
        <f t="shared" si="4"/>
        <v>fa_merged</v>
      </c>
      <c r="I28" t="str" cm="1">
        <f t="array" ref="I28">_xlfn.SWITCH(B28,"scatter_auth_","Number of Unique Authors","scatter_prod_","Mean Productivity")</f>
        <v>Mean Productivity</v>
      </c>
      <c r="J28" t="s">
        <v>30</v>
      </c>
      <c r="K28" cm="1">
        <f t="array" ref="K28">IF(D28="rel",_xlfn.SWITCH(J28,"Number of Articles","Proportion of Articles", "Number of Unique Authors","Proportion of Unique Authors", "Mean Productivity","Productivity Ratio"),)</f>
        <v>0</v>
      </c>
      <c r="L28" t="str">
        <f t="shared" si="1"/>
        <v>First Author Gender</v>
      </c>
    </row>
    <row r="29" spans="1:12" x14ac:dyDescent="0.25">
      <c r="A29" t="s">
        <v>13</v>
      </c>
      <c r="B29" t="s">
        <v>26</v>
      </c>
      <c r="C29" t="s">
        <v>14</v>
      </c>
      <c r="E29" t="s">
        <v>33</v>
      </c>
      <c r="F29" t="s">
        <v>19</v>
      </c>
      <c r="G29" t="str">
        <f t="shared" si="3"/>
        <v>scatter_prod_la_Female</v>
      </c>
      <c r="H29" t="str">
        <f t="shared" si="4"/>
        <v>la_merged</v>
      </c>
      <c r="I29" t="str" cm="1">
        <f t="array" ref="I29">_xlfn.SWITCH(B29,"scatter_auth_","Number of Unique Authors","scatter_prod_","Mean Productivity")</f>
        <v>Mean Productivity</v>
      </c>
      <c r="J29" t="s">
        <v>30</v>
      </c>
      <c r="K29" cm="1">
        <f t="array" ref="K29">IF(D29="rel",_xlfn.SWITCH(J29,"Number of Articles","Proportion of Articles", "Number of Unique Authors","Proportion of Unique Authors", "Mean Productivity","Productivity Ratio"),)</f>
        <v>0</v>
      </c>
      <c r="L29" t="str">
        <f t="shared" si="1"/>
        <v>Last Author Gender</v>
      </c>
    </row>
    <row r="30" spans="1:12" x14ac:dyDescent="0.25">
      <c r="A30" t="s">
        <v>13</v>
      </c>
      <c r="B30" t="s">
        <v>26</v>
      </c>
      <c r="C30" t="s">
        <v>14</v>
      </c>
      <c r="E30" t="s">
        <v>33</v>
      </c>
      <c r="F30" t="s">
        <v>20</v>
      </c>
      <c r="G30" t="str">
        <f t="shared" si="3"/>
        <v>scatter_prod_la_Male</v>
      </c>
      <c r="H30" t="str">
        <f t="shared" si="4"/>
        <v>la_merged</v>
      </c>
      <c r="I30" t="str" cm="1">
        <f t="array" ref="I30">_xlfn.SWITCH(B30,"scatter_auth_","Number of Unique Authors","scatter_prod_","Mean Productivity")</f>
        <v>Mean Productivity</v>
      </c>
      <c r="J30" t="s">
        <v>30</v>
      </c>
      <c r="K30" cm="1">
        <f t="array" ref="K30">IF(D30="rel",_xlfn.SWITCH(J30,"Number of Articles","Proportion of Articles", "Number of Unique Authors","Proportion of Unique Authors", "Mean Productivity","Productivity Ratio"),)</f>
        <v>0</v>
      </c>
      <c r="L30" t="str">
        <f t="shared" si="1"/>
        <v>Last Author Gender</v>
      </c>
    </row>
    <row r="31" spans="1:12" x14ac:dyDescent="0.25">
      <c r="A31" t="s">
        <v>13</v>
      </c>
      <c r="B31" t="s">
        <v>26</v>
      </c>
      <c r="C31" t="s">
        <v>14</v>
      </c>
      <c r="E31" t="s">
        <v>33</v>
      </c>
      <c r="F31" t="s">
        <v>21</v>
      </c>
      <c r="G31" t="str">
        <f t="shared" si="3"/>
        <v>scatter_prod_la_Sum</v>
      </c>
      <c r="H31" t="str">
        <f t="shared" si="4"/>
        <v>la_merged</v>
      </c>
      <c r="I31" t="str" cm="1">
        <f t="array" ref="I31">_xlfn.SWITCH(B31,"scatter_auth_","Number of Unique Authors","scatter_prod_","Mean Productivity")</f>
        <v>Mean Productivity</v>
      </c>
      <c r="J31" t="s">
        <v>30</v>
      </c>
      <c r="K31" cm="1">
        <f t="array" ref="K31">IF(D31="rel",_xlfn.SWITCH(J31,"Number of Articles","Proportion of Articles", "Number of Unique Authors","Proportion of Unique Authors", "Mean Productivity","Productivity Ratio"),)</f>
        <v>0</v>
      </c>
      <c r="L31" t="str">
        <f t="shared" si="1"/>
        <v>Last Author Gender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Aneesh Thallapureddy</dc:creator>
  <cp:lastModifiedBy>Thallapureddy, Aneesh</cp:lastModifiedBy>
  <dcterms:created xsi:type="dcterms:W3CDTF">2015-06-05T18:17:20Z</dcterms:created>
  <dcterms:modified xsi:type="dcterms:W3CDTF">2026-07-29T04:34:09Z</dcterms:modified>
</cp:coreProperties>
</file>