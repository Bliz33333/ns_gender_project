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e\Documents\R Workspace\ns_gender_project\"/>
    </mc:Choice>
  </mc:AlternateContent>
  <xr:revisionPtr revIDLastSave="0" documentId="13_ncr:1_{6350978F-D1C1-4878-8B2A-CDDB32495D11}" xr6:coauthVersionLast="47" xr6:coauthVersionMax="47" xr10:uidLastSave="{00000000-0000-0000-0000-000000000000}"/>
  <bookViews>
    <workbookView xWindow="-28920" yWindow="-120" windowWidth="29040" windowHeight="15840" activeTab="6" xr2:uid="{A920C06B-6435-4DBC-8F54-EA4F292A7BF2}"/>
  </bookViews>
  <sheets>
    <sheet name="j name table" sheetId="6" r:id="rId1"/>
    <sheet name="base data" sheetId="4" r:id="rId2"/>
    <sheet name="base cleaned" sheetId="5" r:id="rId3"/>
    <sheet name="Original" sheetId="1" r:id="rId4"/>
    <sheet name="Re-ordered" sheetId="3" r:id="rId5"/>
    <sheet name="filter" sheetId="7" r:id="rId6"/>
    <sheet name="final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8" l="1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14" i="8"/>
  <c r="N14" i="8" a="1"/>
  <c r="N14" i="8" s="1"/>
  <c r="M14" i="8" a="1"/>
  <c r="M14" i="8" s="1"/>
  <c r="L14" i="8" a="1"/>
  <c r="L14" i="8" s="1"/>
  <c r="K13" i="8"/>
  <c r="N12" i="8"/>
  <c r="M12" i="8"/>
  <c r="K12" i="8"/>
  <c r="N11" i="8"/>
  <c r="M11" i="8"/>
  <c r="K11" i="8"/>
  <c r="M12" i="7"/>
  <c r="N12" i="7"/>
  <c r="N11" i="7"/>
  <c r="M11" i="7"/>
  <c r="M12" i="3"/>
  <c r="N12" i="3"/>
  <c r="N11" i="3"/>
  <c r="M11" i="3"/>
  <c r="M14" i="7"/>
  <c r="N14" i="7"/>
  <c r="M15" i="7"/>
  <c r="N15" i="7"/>
  <c r="M16" i="7"/>
  <c r="N16" i="7"/>
  <c r="M17" i="7"/>
  <c r="N17" i="7"/>
  <c r="M18" i="7"/>
  <c r="N18" i="7"/>
  <c r="M19" i="7"/>
  <c r="N19" i="7"/>
  <c r="M20" i="7"/>
  <c r="N20" i="7"/>
  <c r="M21" i="7"/>
  <c r="N21" i="7"/>
  <c r="M22" i="7"/>
  <c r="N22" i="7"/>
  <c r="M23" i="7"/>
  <c r="N23" i="7"/>
  <c r="M24" i="7"/>
  <c r="N24" i="7"/>
  <c r="M25" i="7"/>
  <c r="N25" i="7"/>
  <c r="M26" i="7"/>
  <c r="N26" i="7"/>
  <c r="M27" i="7"/>
  <c r="N27" i="7"/>
  <c r="M28" i="7"/>
  <c r="N28" i="7"/>
  <c r="M29" i="7"/>
  <c r="N29" i="7"/>
  <c r="M30" i="7"/>
  <c r="N30" i="7"/>
  <c r="M31" i="7"/>
  <c r="N31" i="7"/>
  <c r="M32" i="7"/>
  <c r="N32" i="7"/>
  <c r="M33" i="7"/>
  <c r="N33" i="7"/>
  <c r="M34" i="7"/>
  <c r="N34" i="7"/>
  <c r="M35" i="7"/>
  <c r="N35" i="7"/>
  <c r="M36" i="7"/>
  <c r="N36" i="7"/>
  <c r="M37" i="7"/>
  <c r="N37" i="7"/>
  <c r="M38" i="7"/>
  <c r="N38" i="7"/>
  <c r="M39" i="7"/>
  <c r="N39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14" i="7"/>
  <c r="K13" i="7"/>
  <c r="K12" i="7"/>
  <c r="K11" i="7"/>
  <c r="K12" i="3"/>
  <c r="K11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14" i="3"/>
  <c r="M36" i="1"/>
  <c r="N36" i="1"/>
  <c r="O36" i="1"/>
  <c r="J36" i="1"/>
  <c r="E36" i="1"/>
  <c r="L14" i="3" a="1"/>
  <c r="L14" i="3" s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O14" i="1"/>
  <c r="N14" i="1"/>
  <c r="M17" i="1"/>
  <c r="M24" i="1"/>
  <c r="M32" i="1"/>
  <c r="M33" i="1"/>
  <c r="E15" i="1"/>
  <c r="M15" i="1" s="1"/>
  <c r="E16" i="1"/>
  <c r="E17" i="1"/>
  <c r="E18" i="1"/>
  <c r="M18" i="1" s="1"/>
  <c r="E19" i="1"/>
  <c r="M19" i="1" s="1"/>
  <c r="E20" i="1"/>
  <c r="M20" i="1" s="1"/>
  <c r="E21" i="1"/>
  <c r="M21" i="1" s="1"/>
  <c r="E22" i="1"/>
  <c r="E23" i="1"/>
  <c r="M23" i="1" s="1"/>
  <c r="E24" i="1"/>
  <c r="E25" i="1"/>
  <c r="E26" i="1"/>
  <c r="M26" i="1" s="1"/>
  <c r="E27" i="1"/>
  <c r="M27" i="1" s="1"/>
  <c r="E28" i="1"/>
  <c r="M28" i="1" s="1"/>
  <c r="E29" i="1"/>
  <c r="M29" i="1" s="1"/>
  <c r="E30" i="1"/>
  <c r="E31" i="1"/>
  <c r="M31" i="1" s="1"/>
  <c r="E32" i="1"/>
  <c r="E33" i="1"/>
  <c r="E34" i="1"/>
  <c r="M34" i="1" s="1"/>
  <c r="E35" i="1"/>
  <c r="M35" i="1" s="1"/>
  <c r="E14" i="1"/>
  <c r="O12" i="1"/>
  <c r="N12" i="1"/>
  <c r="O11" i="1"/>
  <c r="N11" i="1"/>
  <c r="A2" i="5"/>
  <c r="B2" i="5"/>
  <c r="C2" i="5"/>
  <c r="A3" i="5"/>
  <c r="B3" i="5"/>
  <c r="C3" i="5"/>
  <c r="A4" i="5"/>
  <c r="B4" i="5"/>
  <c r="C4" i="5"/>
  <c r="A5" i="5"/>
  <c r="B5" i="5"/>
  <c r="C5" i="5"/>
  <c r="A6" i="5"/>
  <c r="B6" i="5"/>
  <c r="C6" i="5"/>
  <c r="A7" i="5"/>
  <c r="B7" i="5"/>
  <c r="C7" i="5"/>
  <c r="A8" i="5"/>
  <c r="B8" i="5"/>
  <c r="C8" i="5"/>
  <c r="A9" i="5"/>
  <c r="B9" i="5"/>
  <c r="C9" i="5"/>
  <c r="A10" i="5"/>
  <c r="B10" i="5"/>
  <c r="C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A19" i="5"/>
  <c r="B19" i="5"/>
  <c r="C19" i="5"/>
  <c r="A20" i="5"/>
  <c r="B20" i="5"/>
  <c r="C20" i="5"/>
  <c r="A21" i="5"/>
  <c r="B21" i="5"/>
  <c r="C21" i="5"/>
  <c r="A22" i="5"/>
  <c r="B22" i="5"/>
  <c r="C22" i="5"/>
  <c r="A23" i="5"/>
  <c r="B23" i="5"/>
  <c r="C23" i="5"/>
  <c r="A24" i="5"/>
  <c r="B24" i="5"/>
  <c r="C24" i="5"/>
  <c r="A25" i="5"/>
  <c r="B25" i="5"/>
  <c r="C25" i="5"/>
  <c r="A26" i="5"/>
  <c r="B26" i="5"/>
  <c r="C26" i="5"/>
  <c r="A27" i="5"/>
  <c r="B27" i="5"/>
  <c r="C27" i="5"/>
  <c r="A29" i="5"/>
  <c r="B29" i="5"/>
  <c r="C29" i="5"/>
  <c r="C1" i="5"/>
  <c r="B1" i="5"/>
  <c r="A1" i="5"/>
  <c r="K13" i="3"/>
  <c r="L12" i="1"/>
  <c r="L13" i="1"/>
  <c r="M16" i="1"/>
  <c r="M25" i="1"/>
  <c r="L11" i="1"/>
  <c r="M30" i="1" l="1"/>
  <c r="M22" i="1"/>
  <c r="M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<sst xmlns="http://schemas.openxmlformats.org/spreadsheetml/2006/main" count="259" uniqueCount="147">
  <si>
    <t>&lt; 0.001</t>
  </si>
  <si>
    <t>Female Last Author</t>
  </si>
  <si>
    <t>Year (Continuous)</t>
  </si>
  <si>
    <t>Journal (Acta Neurochirurgica Baseline)</t>
  </si>
  <si>
    <t>jama</t>
  </si>
  <si>
    <t>lancet</t>
  </si>
  <si>
    <t>neurosurgery</t>
  </si>
  <si>
    <t>science</t>
  </si>
  <si>
    <t>spine</t>
  </si>
  <si>
    <t>jama surgery</t>
  </si>
  <si>
    <t>journal of cerebrovascular and endovascular neurosurgery</t>
  </si>
  <si>
    <t>journal of neuro interventional surgery</t>
  </si>
  <si>
    <t>journal of neurological surgery part b skull base</t>
  </si>
  <si>
    <t>journal of neurooncology</t>
  </si>
  <si>
    <t>journal of neurosurgery</t>
  </si>
  <si>
    <t>journal of neurosurgery pediatrics</t>
  </si>
  <si>
    <t>journal of neurosurgery spine</t>
  </si>
  <si>
    <t>nature medicine</t>
  </si>
  <si>
    <t>neurosurgical focus</t>
  </si>
  <si>
    <t>pediatric neurosurgery</t>
  </si>
  <si>
    <t>science translational medicine</t>
  </si>
  <si>
    <t>stereotactic and functional neurosurgery</t>
  </si>
  <si>
    <t>the new england journal of medicine</t>
  </si>
  <si>
    <t>world neurosurgery</t>
  </si>
  <si>
    <t>journal of clinical neuroscience</t>
  </si>
  <si>
    <t>Odds Ratio (95% CI)</t>
  </si>
  <si>
    <t>P-value</t>
  </si>
  <si>
    <t>Predictor</t>
  </si>
  <si>
    <t xml:space="preserve">	epilepsia</t>
  </si>
  <si>
    <t>first.line</t>
  </si>
  <si>
    <t>table.crude.OR.95.CI.</t>
  </si>
  <si>
    <t>table.adj..OR.95.CI.</t>
  </si>
  <si>
    <t>table.P.Wald.s.test.</t>
  </si>
  <si>
    <t>table.P.LR.test.</t>
  </si>
  <si>
    <t>last.lines</t>
  </si>
  <si>
    <t>PubDate..cont..var..</t>
  </si>
  <si>
    <t xml:space="preserve">_x000D_
Logistic regression predicting fa_gender _x000D_
</t>
  </si>
  <si>
    <t xml:space="preserve">1.08 (1.06,1.1) </t>
  </si>
  <si>
    <t xml:space="preserve">Log-likelihood = -4180.4708_x000D_
No. of observations = 10539_x000D_
AIC value = 8412.9416_x000D_
_x000D_
</t>
  </si>
  <si>
    <t>X</t>
  </si>
  <si>
    <t>Journal..ref..acta.neurochirurgica</t>
  </si>
  <si>
    <t>X...epilepsia</t>
  </si>
  <si>
    <t xml:space="preserve">1.23 (0.51,2.94) </t>
  </si>
  <si>
    <t xml:space="preserve">1.15 (0.48,2.79) </t>
  </si>
  <si>
    <t>X...jama</t>
  </si>
  <si>
    <t xml:space="preserve">0.41 (0.05,3.22) </t>
  </si>
  <si>
    <t xml:space="preserve">0.44 (0.06,3.52) </t>
  </si>
  <si>
    <t>X...jama.surgery</t>
  </si>
  <si>
    <t xml:space="preserve">1.14 (0.23,5.5) </t>
  </si>
  <si>
    <t xml:space="preserve">0.9 (0.19,4.4) </t>
  </si>
  <si>
    <t>X...journal.of.cerebrovascular.and.endovascular.neurosurgery</t>
  </si>
  <si>
    <t xml:space="preserve">1.05 (0.37,2.99) </t>
  </si>
  <si>
    <t xml:space="preserve">1.02 (0.35,2.91) </t>
  </si>
  <si>
    <t>X...journal.of.clinical.neuroscience..official.journal.of.the.neurosurgical.society.of.australasia</t>
  </si>
  <si>
    <t xml:space="preserve">0.86 (0.53,1.4) </t>
  </si>
  <si>
    <t xml:space="preserve">0.97 (0.59,1.58) </t>
  </si>
  <si>
    <t>X...journal.of.neuro.interventional.surgery</t>
  </si>
  <si>
    <t xml:space="preserve">0.44 (0.25,0.79) </t>
  </si>
  <si>
    <t xml:space="preserve">0.46 (0.26,0.83) </t>
  </si>
  <si>
    <t>X...journal.of.neurological.surgery.part.b.skull.base</t>
  </si>
  <si>
    <t xml:space="preserve">1.4 (0.79,2.48) </t>
  </si>
  <si>
    <t xml:space="preserve">1.26 (0.71,2.25) </t>
  </si>
  <si>
    <t>X...journal.of.neurooncology</t>
  </si>
  <si>
    <t xml:space="preserve">1.16 (0.69,1.96) </t>
  </si>
  <si>
    <t xml:space="preserve">1.12 (0.66,1.91) </t>
  </si>
  <si>
    <t>X...journal.of.neurosurgery</t>
  </si>
  <si>
    <t xml:space="preserve">0.83 (0.53,1.32) </t>
  </si>
  <si>
    <t xml:space="preserve">0.88 (0.56,1.39) </t>
  </si>
  <si>
    <t>X...journal.of.neurosurgery.pediatrics</t>
  </si>
  <si>
    <t xml:space="preserve">1.6 (1.01,2.52) </t>
  </si>
  <si>
    <t xml:space="preserve">1.72 (1.09,2.73) </t>
  </si>
  <si>
    <t>X...journal.of.neurosurgery.spine</t>
  </si>
  <si>
    <t xml:space="preserve">0.63 (0.39,1.03) </t>
  </si>
  <si>
    <t xml:space="preserve">0.67 (0.41,1.09) </t>
  </si>
  <si>
    <t>X...lancet</t>
  </si>
  <si>
    <t xml:space="preserve">0.71 (0.09,5.93) </t>
  </si>
  <si>
    <t xml:space="preserve">0.93 (0.11,7.76) </t>
  </si>
  <si>
    <t>X...nature</t>
  </si>
  <si>
    <t xml:space="preserve">0 (0,7.75519927535801e+154) </t>
  </si>
  <si>
    <t xml:space="preserve">0 (0,3.05883308644914e+152) </t>
  </si>
  <si>
    <t>X...nature.medicine</t>
  </si>
  <si>
    <t xml:space="preserve">0.95 (0.11,8.2) </t>
  </si>
  <si>
    <t xml:space="preserve">0.82 (0.09,7.26) </t>
  </si>
  <si>
    <t>X...neurosurgery</t>
  </si>
  <si>
    <t xml:space="preserve">0.86 (0.55,1.34) </t>
  </si>
  <si>
    <t xml:space="preserve">0.91 (0.58,1.42) </t>
  </si>
  <si>
    <t>X...neurosurgical.focus</t>
  </si>
  <si>
    <t xml:space="preserve">0.77 (0.48,1.23) </t>
  </si>
  <si>
    <t xml:space="preserve">0.88 (0.55,1.41) </t>
  </si>
  <si>
    <t>X...pediatric.neurosurgery</t>
  </si>
  <si>
    <t xml:space="preserve">1.94 (1.06,3.53) </t>
  </si>
  <si>
    <t xml:space="preserve">2.01 (1.09,3.68) </t>
  </si>
  <si>
    <t>X...science</t>
  </si>
  <si>
    <t xml:space="preserve">5.68 (0.34,93.8) </t>
  </si>
  <si>
    <t xml:space="preserve">7.26 (0.44,120.91) </t>
  </si>
  <si>
    <t>X...science.translational.medicine</t>
  </si>
  <si>
    <t xml:space="preserve">0 (0,7.75519929868728e+154) </t>
  </si>
  <si>
    <t xml:space="preserve">0 (0,6.93754670969676e+154) </t>
  </si>
  <si>
    <t>X...spine</t>
  </si>
  <si>
    <t xml:space="preserve">0.5 (0.26,0.98) </t>
  </si>
  <si>
    <t xml:space="preserve">0.53 (0.27,1.04) </t>
  </si>
  <si>
    <t>X...stereotactic.and.functional.neurosurgery</t>
  </si>
  <si>
    <t xml:space="preserve">1.42 (0.73,2.77) </t>
  </si>
  <si>
    <t xml:space="preserve">1.44 (0.73,2.83) </t>
  </si>
  <si>
    <t>X...the.new.england.journal.of.medicine</t>
  </si>
  <si>
    <t xml:space="preserve">0.95 (0.3,2.96) </t>
  </si>
  <si>
    <t xml:space="preserve">1.05 (0.33,3.31) </t>
  </si>
  <si>
    <t>X...world.neurosurgery</t>
  </si>
  <si>
    <t xml:space="preserve">1.01 (0.65,1.56) </t>
  </si>
  <si>
    <t xml:space="preserve">0.97 (0.62,1.5) </t>
  </si>
  <si>
    <t>X.1</t>
  </si>
  <si>
    <t>la_gender</t>
  </si>
  <si>
    <t xml:space="preserve">1.77 (1.49,2.1) </t>
  </si>
  <si>
    <t xml:space="preserve">1.54 (1.29,1.83) </t>
  </si>
  <si>
    <t>X.2</t>
  </si>
  <si>
    <t>nature</t>
  </si>
  <si>
    <t>Output</t>
  </si>
  <si>
    <t>Name</t>
  </si>
  <si>
    <t>Type</t>
  </si>
  <si>
    <t>neuro</t>
  </si>
  <si>
    <t>med</t>
  </si>
  <si>
    <t>nsurg</t>
  </si>
  <si>
    <t>gen</t>
  </si>
  <si>
    <t>Nature</t>
  </si>
  <si>
    <t>Science</t>
  </si>
  <si>
    <t>Jama</t>
  </si>
  <si>
    <t>Jama Surgery</t>
  </si>
  <si>
    <t>Lancet</t>
  </si>
  <si>
    <t>Nature Medicine</t>
  </si>
  <si>
    <t>Science Translational Medicine</t>
  </si>
  <si>
    <t>The New England Journal Of Medicine</t>
  </si>
  <si>
    <t xml:space="preserve">	Epilepsia</t>
  </si>
  <si>
    <t>Journal Of Clinical Neuroscience</t>
  </si>
  <si>
    <t>Journal Of Neurooncology</t>
  </si>
  <si>
    <t>Spine</t>
  </si>
  <si>
    <t>Journal Of Cerebrovascular And Endovascular Neurosurgery</t>
  </si>
  <si>
    <t>Journal Of Neuro Interventional Surgery</t>
  </si>
  <si>
    <t>Journal Of Neurosurgery</t>
  </si>
  <si>
    <t>Neurosurgery</t>
  </si>
  <si>
    <t>Neurosurgical Focus</t>
  </si>
  <si>
    <t>Pediatric Neurosurgery</t>
  </si>
  <si>
    <t>Stereotactic And Functional Neurosurgery</t>
  </si>
  <si>
    <t>World Neurosurgery</t>
  </si>
  <si>
    <t>Proper</t>
  </si>
  <si>
    <t>Journal Of Neurological Surgery Part B: Skull Base</t>
  </si>
  <si>
    <t>Journal Of Neurosurgery: Pediatrics</t>
  </si>
  <si>
    <t>Journal Of Neurosurgery: Spine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</si>
</sst>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/>
    <xf numFmtId="0" fontId="2" fillId="0" borderId="16" xfId="0" applyFont="1" applyBorder="1" applyAlignment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  <strike val="0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FC552F-9BC4-4FDF-BAAC-E6EEA3ABB984}" name="Table1" displayName="Table1" ref="A1:D24" totalsRowShown="0">
  <autoFilter ref="A1:D24" xr:uid="{43FC552F-9BC4-4FDF-BAAC-E6EEA3ABB984}"/>
  <sortState xmlns:xlrd2="http://schemas.microsoft.com/office/spreadsheetml/2017/richdata2" ref="A2:C24">
    <sortCondition ref="C1:C24"/>
  </sortState>
  <tableColumns count="4">
    <tableColumn id="1" xr3:uid="{65FBE7D1-3313-4E75-8EF3-6713FD5FB99F}" name="Name"/>
    <tableColumn id="2" xr3:uid="{DCAC1B04-AC2D-4E2E-A852-884D376BAED7}" name="Output"/>
    <tableColumn id="3" xr3:uid="{36753DEA-9117-40EA-83E3-9E6FF24B30D1}" name="Type"/>
    <tableColumn id="4" xr3:uid="{778CA012-BDD9-4247-9789-CA7FADCA7ED4}" name="Prope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8F88-7489-4CBA-8665-8E366F1F22F0}">
  <dimension ref="A1:D24"/>
  <sheetViews>
    <sheetView workbookViewId="0">
      <selection activeCell="D20" sqref="D20"/>
    </sheetView>
  </sheetViews>
  <sheetFormatPr defaultRowHeight="15" x14ac:dyDescent="0.25"/>
  <cols>
    <col min="1" max="2" width="56" customWidth="1"/>
    <col min="3" max="3" width="55.7109375" customWidth="1"/>
    <col min="4" max="4" width="54.7109375" customWidth="1"/>
  </cols>
  <sheetData>
    <row r="1" spans="1:4" x14ac:dyDescent="0.25">
      <c r="A1" t="s">
        <v>117</v>
      </c>
      <c r="B1" t="s">
        <v>116</v>
      </c>
      <c r="C1" t="s">
        <v>118</v>
      </c>
      <c r="D1" t="s">
        <v>143</v>
      </c>
    </row>
    <row r="2" spans="1:4" x14ac:dyDescent="0.25">
      <c r="A2" t="s">
        <v>115</v>
      </c>
      <c r="B2" t="s">
        <v>77</v>
      </c>
      <c r="C2" t="s">
        <v>122</v>
      </c>
      <c r="D2" t="s">
        <v>123</v>
      </c>
    </row>
    <row r="3" spans="1:4" x14ac:dyDescent="0.25">
      <c r="A3" t="s">
        <v>7</v>
      </c>
      <c r="B3" t="s">
        <v>92</v>
      </c>
      <c r="C3" t="s">
        <v>122</v>
      </c>
      <c r="D3" t="s">
        <v>124</v>
      </c>
    </row>
    <row r="4" spans="1:4" x14ac:dyDescent="0.25">
      <c r="A4" t="s">
        <v>4</v>
      </c>
      <c r="B4" t="s">
        <v>44</v>
      </c>
      <c r="C4" t="s">
        <v>120</v>
      </c>
      <c r="D4" t="s">
        <v>125</v>
      </c>
    </row>
    <row r="5" spans="1:4" x14ac:dyDescent="0.25">
      <c r="A5" t="s">
        <v>9</v>
      </c>
      <c r="B5" t="s">
        <v>47</v>
      </c>
      <c r="C5" t="s">
        <v>120</v>
      </c>
      <c r="D5" t="s">
        <v>126</v>
      </c>
    </row>
    <row r="6" spans="1:4" x14ac:dyDescent="0.25">
      <c r="A6" t="s">
        <v>5</v>
      </c>
      <c r="B6" t="s">
        <v>74</v>
      </c>
      <c r="C6" t="s">
        <v>120</v>
      </c>
      <c r="D6" t="s">
        <v>127</v>
      </c>
    </row>
    <row r="7" spans="1:4" x14ac:dyDescent="0.25">
      <c r="A7" t="s">
        <v>17</v>
      </c>
      <c r="B7" t="s">
        <v>80</v>
      </c>
      <c r="C7" t="s">
        <v>120</v>
      </c>
      <c r="D7" t="s">
        <v>128</v>
      </c>
    </row>
    <row r="8" spans="1:4" x14ac:dyDescent="0.25">
      <c r="A8" t="s">
        <v>20</v>
      </c>
      <c r="B8" t="s">
        <v>95</v>
      </c>
      <c r="C8" t="s">
        <v>120</v>
      </c>
      <c r="D8" t="s">
        <v>129</v>
      </c>
    </row>
    <row r="9" spans="1:4" x14ac:dyDescent="0.25">
      <c r="A9" t="s">
        <v>22</v>
      </c>
      <c r="B9" t="s">
        <v>104</v>
      </c>
      <c r="C9" t="s">
        <v>120</v>
      </c>
      <c r="D9" t="s">
        <v>130</v>
      </c>
    </row>
    <row r="10" spans="1:4" x14ac:dyDescent="0.25">
      <c r="A10" t="s">
        <v>28</v>
      </c>
      <c r="B10" t="s">
        <v>41</v>
      </c>
      <c r="C10" t="s">
        <v>119</v>
      </c>
      <c r="D10" t="s">
        <v>131</v>
      </c>
    </row>
    <row r="11" spans="1:4" x14ac:dyDescent="0.25">
      <c r="A11" t="s">
        <v>24</v>
      </c>
      <c r="B11" t="s">
        <v>53</v>
      </c>
      <c r="C11" t="s">
        <v>119</v>
      </c>
      <c r="D11" t="s">
        <v>132</v>
      </c>
    </row>
    <row r="12" spans="1:4" x14ac:dyDescent="0.25">
      <c r="A12" t="s">
        <v>13</v>
      </c>
      <c r="B12" t="s">
        <v>62</v>
      </c>
      <c r="C12" t="s">
        <v>119</v>
      </c>
      <c r="D12" t="s">
        <v>133</v>
      </c>
    </row>
    <row r="13" spans="1:4" x14ac:dyDescent="0.25">
      <c r="A13" t="s">
        <v>8</v>
      </c>
      <c r="B13" t="s">
        <v>98</v>
      </c>
      <c r="C13" t="s">
        <v>119</v>
      </c>
      <c r="D13" t="s">
        <v>134</v>
      </c>
    </row>
    <row r="14" spans="1:4" x14ac:dyDescent="0.25">
      <c r="A14" t="s">
        <v>10</v>
      </c>
      <c r="B14" t="s">
        <v>50</v>
      </c>
      <c r="C14" t="s">
        <v>121</v>
      </c>
      <c r="D14" t="s">
        <v>135</v>
      </c>
    </row>
    <row r="15" spans="1:4" x14ac:dyDescent="0.25">
      <c r="A15" t="s">
        <v>11</v>
      </c>
      <c r="B15" t="s">
        <v>56</v>
      </c>
      <c r="C15" t="s">
        <v>121</v>
      </c>
      <c r="D15" t="s">
        <v>136</v>
      </c>
    </row>
    <row r="16" spans="1:4" x14ac:dyDescent="0.25">
      <c r="A16" t="s">
        <v>12</v>
      </c>
      <c r="B16" t="s">
        <v>59</v>
      </c>
      <c r="C16" t="s">
        <v>121</v>
      </c>
      <c r="D16" t="s">
        <v>144</v>
      </c>
    </row>
    <row r="17" spans="1:4" x14ac:dyDescent="0.25">
      <c r="A17" t="s">
        <v>14</v>
      </c>
      <c r="B17" t="s">
        <v>65</v>
      </c>
      <c r="C17" t="s">
        <v>121</v>
      </c>
      <c r="D17" t="s">
        <v>137</v>
      </c>
    </row>
    <row r="18" spans="1:4" x14ac:dyDescent="0.25">
      <c r="A18" t="s">
        <v>15</v>
      </c>
      <c r="B18" t="s">
        <v>68</v>
      </c>
      <c r="C18" t="s">
        <v>121</v>
      </c>
      <c r="D18" t="s">
        <v>145</v>
      </c>
    </row>
    <row r="19" spans="1:4" x14ac:dyDescent="0.25">
      <c r="A19" t="s">
        <v>16</v>
      </c>
      <c r="B19" t="s">
        <v>71</v>
      </c>
      <c r="C19" t="s">
        <v>121</v>
      </c>
      <c r="D19" t="s">
        <v>146</v>
      </c>
    </row>
    <row r="20" spans="1:4" x14ac:dyDescent="0.25">
      <c r="A20" t="s">
        <v>6</v>
      </c>
      <c r="B20" t="s">
        <v>83</v>
      </c>
      <c r="C20" t="s">
        <v>121</v>
      </c>
      <c r="D20" t="s">
        <v>138</v>
      </c>
    </row>
    <row r="21" spans="1:4" x14ac:dyDescent="0.25">
      <c r="A21" t="s">
        <v>18</v>
      </c>
      <c r="B21" t="s">
        <v>86</v>
      </c>
      <c r="C21" t="s">
        <v>121</v>
      </c>
      <c r="D21" t="s">
        <v>139</v>
      </c>
    </row>
    <row r="22" spans="1:4" x14ac:dyDescent="0.25">
      <c r="A22" t="s">
        <v>19</v>
      </c>
      <c r="B22" t="s">
        <v>89</v>
      </c>
      <c r="C22" t="s">
        <v>121</v>
      </c>
      <c r="D22" t="s">
        <v>140</v>
      </c>
    </row>
    <row r="23" spans="1:4" x14ac:dyDescent="0.25">
      <c r="A23" t="s">
        <v>21</v>
      </c>
      <c r="B23" t="s">
        <v>101</v>
      </c>
      <c r="C23" t="s">
        <v>121</v>
      </c>
      <c r="D23" t="s">
        <v>141</v>
      </c>
    </row>
    <row r="24" spans="1:4" x14ac:dyDescent="0.25">
      <c r="A24" t="s">
        <v>23</v>
      </c>
      <c r="B24" t="s">
        <v>107</v>
      </c>
      <c r="C24" t="s">
        <v>121</v>
      </c>
      <c r="D24" t="s">
        <v>142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7362-C7BF-49AC-9E73-E3B5D9BB5C06}">
  <dimension ref="A1:G30"/>
  <sheetViews>
    <sheetView topLeftCell="A2" workbookViewId="0">
      <selection activeCell="C3" sqref="C3"/>
    </sheetView>
  </sheetViews>
  <sheetFormatPr defaultRowHeight="15" x14ac:dyDescent="0.25"/>
  <cols>
    <col min="5" max="5" width="22" customWidth="1"/>
    <col min="6" max="6" width="29.85546875" customWidth="1"/>
  </cols>
  <sheetData>
    <row r="1" spans="1:7" x14ac:dyDescent="0.25"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 spans="1:7" ht="225" x14ac:dyDescent="0.25">
      <c r="A2" t="s">
        <v>35</v>
      </c>
      <c r="B2" s="13" t="s">
        <v>36</v>
      </c>
      <c r="C2" t="s">
        <v>37</v>
      </c>
      <c r="D2" t="s">
        <v>37</v>
      </c>
      <c r="E2" t="s">
        <v>0</v>
      </c>
      <c r="F2" t="s">
        <v>0</v>
      </c>
      <c r="G2" s="13" t="s">
        <v>38</v>
      </c>
    </row>
    <row r="3" spans="1:7" ht="225" x14ac:dyDescent="0.25">
      <c r="A3" t="s">
        <v>39</v>
      </c>
      <c r="B3" s="13" t="s">
        <v>36</v>
      </c>
      <c r="G3" s="13" t="s">
        <v>38</v>
      </c>
    </row>
    <row r="4" spans="1:7" ht="225" x14ac:dyDescent="0.25">
      <c r="A4" t="s">
        <v>40</v>
      </c>
      <c r="B4" s="13" t="s">
        <v>36</v>
      </c>
      <c r="F4" t="s">
        <v>0</v>
      </c>
      <c r="G4" s="13" t="s">
        <v>38</v>
      </c>
    </row>
    <row r="5" spans="1:7" ht="225" x14ac:dyDescent="0.25">
      <c r="A5" t="s">
        <v>41</v>
      </c>
      <c r="B5" s="13" t="s">
        <v>36</v>
      </c>
      <c r="C5" t="s">
        <v>42</v>
      </c>
      <c r="D5" t="s">
        <v>43</v>
      </c>
      <c r="E5">
        <v>0.752</v>
      </c>
      <c r="G5" s="13" t="s">
        <v>38</v>
      </c>
    </row>
    <row r="6" spans="1:7" ht="225" x14ac:dyDescent="0.25">
      <c r="A6" t="s">
        <v>44</v>
      </c>
      <c r="B6" s="13" t="s">
        <v>36</v>
      </c>
      <c r="C6" t="s">
        <v>45</v>
      </c>
      <c r="D6" t="s">
        <v>46</v>
      </c>
      <c r="E6">
        <v>0.439</v>
      </c>
      <c r="G6" s="13" t="s">
        <v>38</v>
      </c>
    </row>
    <row r="7" spans="1:7" ht="225" x14ac:dyDescent="0.25">
      <c r="A7" t="s">
        <v>47</v>
      </c>
      <c r="B7" s="13" t="s">
        <v>36</v>
      </c>
      <c r="C7" t="s">
        <v>48</v>
      </c>
      <c r="D7" t="s">
        <v>49</v>
      </c>
      <c r="E7">
        <v>0.89900000000000002</v>
      </c>
      <c r="G7" s="13" t="s">
        <v>38</v>
      </c>
    </row>
    <row r="8" spans="1:7" ht="225" x14ac:dyDescent="0.25">
      <c r="A8" t="s">
        <v>50</v>
      </c>
      <c r="B8" s="13" t="s">
        <v>36</v>
      </c>
      <c r="C8" t="s">
        <v>51</v>
      </c>
      <c r="D8" t="s">
        <v>52</v>
      </c>
      <c r="E8">
        <v>0.97799999999999998</v>
      </c>
      <c r="G8" s="13" t="s">
        <v>38</v>
      </c>
    </row>
    <row r="9" spans="1:7" ht="225" x14ac:dyDescent="0.25">
      <c r="A9" t="s">
        <v>53</v>
      </c>
      <c r="B9" s="13" t="s">
        <v>36</v>
      </c>
      <c r="C9" t="s">
        <v>54</v>
      </c>
      <c r="D9" t="s">
        <v>55</v>
      </c>
      <c r="E9">
        <v>0.89200000000000002</v>
      </c>
      <c r="G9" s="13" t="s">
        <v>38</v>
      </c>
    </row>
    <row r="10" spans="1:7" ht="225" x14ac:dyDescent="0.25">
      <c r="A10" t="s">
        <v>56</v>
      </c>
      <c r="B10" s="13" t="s">
        <v>36</v>
      </c>
      <c r="C10" t="s">
        <v>57</v>
      </c>
      <c r="D10" t="s">
        <v>58</v>
      </c>
      <c r="E10">
        <v>8.9999999999999993E-3</v>
      </c>
      <c r="G10" s="13" t="s">
        <v>38</v>
      </c>
    </row>
    <row r="11" spans="1:7" ht="225" x14ac:dyDescent="0.25">
      <c r="A11" t="s">
        <v>59</v>
      </c>
      <c r="B11" s="13" t="s">
        <v>36</v>
      </c>
      <c r="C11" t="s">
        <v>60</v>
      </c>
      <c r="D11" t="s">
        <v>61</v>
      </c>
      <c r="E11">
        <v>0.42499999999999999</v>
      </c>
      <c r="G11" s="13" t="s">
        <v>38</v>
      </c>
    </row>
    <row r="12" spans="1:7" ht="225" x14ac:dyDescent="0.25">
      <c r="A12" t="s">
        <v>62</v>
      </c>
      <c r="B12" s="13" t="s">
        <v>36</v>
      </c>
      <c r="C12" t="s">
        <v>63</v>
      </c>
      <c r="D12" t="s">
        <v>64</v>
      </c>
      <c r="E12">
        <v>0.66800000000000004</v>
      </c>
      <c r="G12" s="13" t="s">
        <v>38</v>
      </c>
    </row>
    <row r="13" spans="1:7" ht="225" x14ac:dyDescent="0.25">
      <c r="A13" t="s">
        <v>65</v>
      </c>
      <c r="B13" s="13" t="s">
        <v>36</v>
      </c>
      <c r="C13" t="s">
        <v>66</v>
      </c>
      <c r="D13" t="s">
        <v>67</v>
      </c>
      <c r="E13">
        <v>0.57899999999999996</v>
      </c>
      <c r="G13" s="13" t="s">
        <v>38</v>
      </c>
    </row>
    <row r="14" spans="1:7" ht="225" x14ac:dyDescent="0.25">
      <c r="A14" t="s">
        <v>68</v>
      </c>
      <c r="B14" s="13" t="s">
        <v>36</v>
      </c>
      <c r="C14" t="s">
        <v>69</v>
      </c>
      <c r="D14" t="s">
        <v>70</v>
      </c>
      <c r="E14">
        <v>0.02</v>
      </c>
      <c r="G14" s="13" t="s">
        <v>38</v>
      </c>
    </row>
    <row r="15" spans="1:7" ht="225" x14ac:dyDescent="0.25">
      <c r="A15" t="s">
        <v>71</v>
      </c>
      <c r="B15" s="13" t="s">
        <v>36</v>
      </c>
      <c r="C15" t="s">
        <v>72</v>
      </c>
      <c r="D15" t="s">
        <v>73</v>
      </c>
      <c r="E15">
        <v>0.109</v>
      </c>
      <c r="G15" s="13" t="s">
        <v>38</v>
      </c>
    </row>
    <row r="16" spans="1:7" ht="225" x14ac:dyDescent="0.25">
      <c r="A16" t="s">
        <v>74</v>
      </c>
      <c r="B16" s="13" t="s">
        <v>36</v>
      </c>
      <c r="C16" t="s">
        <v>75</v>
      </c>
      <c r="D16" t="s">
        <v>76</v>
      </c>
      <c r="E16">
        <v>0.94499999999999995</v>
      </c>
      <c r="G16" s="13" t="s">
        <v>38</v>
      </c>
    </row>
    <row r="17" spans="1:7" ht="225" x14ac:dyDescent="0.25">
      <c r="A17" t="s">
        <v>77</v>
      </c>
      <c r="B17" s="13" t="s">
        <v>36</v>
      </c>
      <c r="C17" t="s">
        <v>78</v>
      </c>
      <c r="D17" t="s">
        <v>79</v>
      </c>
      <c r="E17">
        <v>0.95299999999999996</v>
      </c>
      <c r="G17" s="13" t="s">
        <v>38</v>
      </c>
    </row>
    <row r="18" spans="1:7" ht="225" x14ac:dyDescent="0.25">
      <c r="A18" t="s">
        <v>80</v>
      </c>
      <c r="B18" s="13" t="s">
        <v>36</v>
      </c>
      <c r="C18" t="s">
        <v>81</v>
      </c>
      <c r="D18" t="s">
        <v>82</v>
      </c>
      <c r="E18">
        <v>0.86199999999999999</v>
      </c>
      <c r="G18" s="13" t="s">
        <v>38</v>
      </c>
    </row>
    <row r="19" spans="1:7" ht="225" x14ac:dyDescent="0.25">
      <c r="A19" t="s">
        <v>83</v>
      </c>
      <c r="B19" s="13" t="s">
        <v>36</v>
      </c>
      <c r="C19" t="s">
        <v>84</v>
      </c>
      <c r="D19" t="s">
        <v>85</v>
      </c>
      <c r="E19">
        <v>0.67700000000000005</v>
      </c>
      <c r="G19" s="13" t="s">
        <v>38</v>
      </c>
    </row>
    <row r="20" spans="1:7" ht="225" x14ac:dyDescent="0.25">
      <c r="A20" t="s">
        <v>86</v>
      </c>
      <c r="B20" s="13" t="s">
        <v>36</v>
      </c>
      <c r="C20" t="s">
        <v>87</v>
      </c>
      <c r="D20" t="s">
        <v>88</v>
      </c>
      <c r="E20">
        <v>0.59099999999999997</v>
      </c>
      <c r="G20" s="13" t="s">
        <v>38</v>
      </c>
    </row>
    <row r="21" spans="1:7" ht="225" x14ac:dyDescent="0.25">
      <c r="A21" t="s">
        <v>89</v>
      </c>
      <c r="B21" s="13" t="s">
        <v>36</v>
      </c>
      <c r="C21" t="s">
        <v>90</v>
      </c>
      <c r="D21" t="s">
        <v>91</v>
      </c>
      <c r="E21">
        <v>2.4E-2</v>
      </c>
      <c r="G21" s="13" t="s">
        <v>38</v>
      </c>
    </row>
    <row r="22" spans="1:7" ht="225" x14ac:dyDescent="0.25">
      <c r="A22" t="s">
        <v>92</v>
      </c>
      <c r="B22" s="13" t="s">
        <v>36</v>
      </c>
      <c r="C22" t="s">
        <v>93</v>
      </c>
      <c r="D22" t="s">
        <v>94</v>
      </c>
      <c r="E22">
        <v>0.16700000000000001</v>
      </c>
      <c r="G22" s="13" t="s">
        <v>38</v>
      </c>
    </row>
    <row r="23" spans="1:7" ht="225" x14ac:dyDescent="0.25">
      <c r="A23" t="s">
        <v>95</v>
      </c>
      <c r="B23" s="13" t="s">
        <v>36</v>
      </c>
      <c r="C23" t="s">
        <v>96</v>
      </c>
      <c r="D23" t="s">
        <v>97</v>
      </c>
      <c r="E23">
        <v>0.95599999999999996</v>
      </c>
      <c r="G23" s="13" t="s">
        <v>38</v>
      </c>
    </row>
    <row r="24" spans="1:7" ht="225" x14ac:dyDescent="0.25">
      <c r="A24" t="s">
        <v>98</v>
      </c>
      <c r="B24" s="13" t="s">
        <v>36</v>
      </c>
      <c r="C24" t="s">
        <v>99</v>
      </c>
      <c r="D24" t="s">
        <v>100</v>
      </c>
      <c r="E24">
        <v>6.4000000000000001E-2</v>
      </c>
      <c r="G24" s="13" t="s">
        <v>38</v>
      </c>
    </row>
    <row r="25" spans="1:7" ht="225" x14ac:dyDescent="0.25">
      <c r="A25" t="s">
        <v>101</v>
      </c>
      <c r="B25" s="13" t="s">
        <v>36</v>
      </c>
      <c r="C25" t="s">
        <v>102</v>
      </c>
      <c r="D25" t="s">
        <v>103</v>
      </c>
      <c r="E25">
        <v>0.29199999999999998</v>
      </c>
      <c r="G25" s="13" t="s">
        <v>38</v>
      </c>
    </row>
    <row r="26" spans="1:7" ht="225" x14ac:dyDescent="0.25">
      <c r="A26" t="s">
        <v>104</v>
      </c>
      <c r="B26" s="13" t="s">
        <v>36</v>
      </c>
      <c r="C26" t="s">
        <v>105</v>
      </c>
      <c r="D26" t="s">
        <v>106</v>
      </c>
      <c r="E26">
        <v>0.93200000000000005</v>
      </c>
      <c r="G26" s="13" t="s">
        <v>38</v>
      </c>
    </row>
    <row r="27" spans="1:7" ht="225" x14ac:dyDescent="0.25">
      <c r="A27" t="s">
        <v>107</v>
      </c>
      <c r="B27" s="13" t="s">
        <v>36</v>
      </c>
      <c r="C27" t="s">
        <v>108</v>
      </c>
      <c r="D27" t="s">
        <v>109</v>
      </c>
      <c r="E27">
        <v>0.875</v>
      </c>
      <c r="G27" s="13" t="s">
        <v>38</v>
      </c>
    </row>
    <row r="28" spans="1:7" ht="225" x14ac:dyDescent="0.25">
      <c r="A28" t="s">
        <v>110</v>
      </c>
      <c r="B28" s="13" t="s">
        <v>36</v>
      </c>
      <c r="G28" s="13" t="s">
        <v>38</v>
      </c>
    </row>
    <row r="29" spans="1:7" ht="225" x14ac:dyDescent="0.25">
      <c r="A29" t="s">
        <v>111</v>
      </c>
      <c r="B29" s="13" t="s">
        <v>36</v>
      </c>
      <c r="C29" t="s">
        <v>112</v>
      </c>
      <c r="D29" t="s">
        <v>113</v>
      </c>
      <c r="E29" t="s">
        <v>0</v>
      </c>
      <c r="F29" t="s">
        <v>0</v>
      </c>
      <c r="G29" s="13" t="s">
        <v>38</v>
      </c>
    </row>
    <row r="30" spans="1:7" ht="225" x14ac:dyDescent="0.25">
      <c r="A30" t="s">
        <v>114</v>
      </c>
      <c r="B30" s="13" t="s">
        <v>36</v>
      </c>
      <c r="G30" s="1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DCF4-28F3-47B1-A441-80BC1B17BD0A}">
  <dimension ref="A1:C29"/>
  <sheetViews>
    <sheetView workbookViewId="0">
      <selection activeCell="A27" sqref="A27"/>
    </sheetView>
  </sheetViews>
  <sheetFormatPr defaultRowHeight="15" x14ac:dyDescent="0.25"/>
  <cols>
    <col min="1" max="1" width="85.42578125" customWidth="1"/>
    <col min="2" max="2" width="20.28515625" customWidth="1"/>
    <col min="3" max="3" width="18.85546875" customWidth="1"/>
  </cols>
  <sheetData>
    <row r="1" spans="1:3" x14ac:dyDescent="0.25">
      <c r="A1">
        <f>'base data'!A1</f>
        <v>0</v>
      </c>
      <c r="B1" t="str">
        <f>'base data'!D1</f>
        <v>table.adj..OR.95.CI.</v>
      </c>
      <c r="C1" t="str">
        <f>'base data'!E1</f>
        <v>table.P.Wald.s.test.</v>
      </c>
    </row>
    <row r="2" spans="1:3" x14ac:dyDescent="0.25">
      <c r="A2" t="str">
        <f>'base data'!A2</f>
        <v>PubDate..cont..var..</v>
      </c>
      <c r="B2" t="str">
        <f>'base data'!D2</f>
        <v xml:space="preserve">1.08 (1.06,1.1) </v>
      </c>
      <c r="C2" t="str">
        <f>'base data'!E2</f>
        <v>&lt; 0.001</v>
      </c>
    </row>
    <row r="3" spans="1:3" x14ac:dyDescent="0.25">
      <c r="A3" t="str">
        <f>'base data'!A3</f>
        <v>X</v>
      </c>
      <c r="B3">
        <f>'base data'!D3</f>
        <v>0</v>
      </c>
      <c r="C3">
        <f>'base data'!E3</f>
        <v>0</v>
      </c>
    </row>
    <row r="4" spans="1:3" x14ac:dyDescent="0.25">
      <c r="A4" t="str">
        <f>'base data'!A4</f>
        <v>Journal..ref..acta.neurochirurgica</v>
      </c>
      <c r="B4">
        <f>'base data'!D4</f>
        <v>0</v>
      </c>
      <c r="C4">
        <f>'base data'!E4</f>
        <v>0</v>
      </c>
    </row>
    <row r="5" spans="1:3" x14ac:dyDescent="0.25">
      <c r="A5" t="str">
        <f>'base data'!A5</f>
        <v>X...epilepsia</v>
      </c>
      <c r="B5" t="str">
        <f>'base data'!D5</f>
        <v xml:space="preserve">1.15 (0.48,2.79) </v>
      </c>
      <c r="C5">
        <f>'base data'!E5</f>
        <v>0.752</v>
      </c>
    </row>
    <row r="6" spans="1:3" x14ac:dyDescent="0.25">
      <c r="A6" t="str">
        <f>'base data'!A6</f>
        <v>X...jama</v>
      </c>
      <c r="B6" t="str">
        <f>'base data'!D6</f>
        <v xml:space="preserve">0.44 (0.06,3.52) </v>
      </c>
      <c r="C6">
        <f>'base data'!E6</f>
        <v>0.439</v>
      </c>
    </row>
    <row r="7" spans="1:3" x14ac:dyDescent="0.25">
      <c r="A7" t="str">
        <f>'base data'!A7</f>
        <v>X...jama.surgery</v>
      </c>
      <c r="B7" t="str">
        <f>'base data'!D7</f>
        <v xml:space="preserve">0.9 (0.19,4.4) </v>
      </c>
      <c r="C7">
        <f>'base data'!E7</f>
        <v>0.89900000000000002</v>
      </c>
    </row>
    <row r="8" spans="1:3" x14ac:dyDescent="0.25">
      <c r="A8" t="str">
        <f>'base data'!A8</f>
        <v>X...journal.of.cerebrovascular.and.endovascular.neurosurgery</v>
      </c>
      <c r="B8" t="str">
        <f>'base data'!D8</f>
        <v xml:space="preserve">1.02 (0.35,2.91) </v>
      </c>
      <c r="C8">
        <f>'base data'!E8</f>
        <v>0.97799999999999998</v>
      </c>
    </row>
    <row r="9" spans="1:3" x14ac:dyDescent="0.25">
      <c r="A9" t="str">
        <f>'base data'!A9</f>
        <v>X...journal.of.clinical.neuroscience..official.journal.of.the.neurosurgical.society.of.australasia</v>
      </c>
      <c r="B9" t="str">
        <f>'base data'!D9</f>
        <v xml:space="preserve">0.97 (0.59,1.58) </v>
      </c>
      <c r="C9">
        <f>'base data'!E9</f>
        <v>0.89200000000000002</v>
      </c>
    </row>
    <row r="10" spans="1:3" x14ac:dyDescent="0.25">
      <c r="A10" t="str">
        <f>'base data'!A10</f>
        <v>X...journal.of.neuro.interventional.surgery</v>
      </c>
      <c r="B10" t="str">
        <f>'base data'!D10</f>
        <v xml:space="preserve">0.46 (0.26,0.83) </v>
      </c>
      <c r="C10">
        <f>'base data'!E10</f>
        <v>8.9999999999999993E-3</v>
      </c>
    </row>
    <row r="11" spans="1:3" x14ac:dyDescent="0.25">
      <c r="A11" t="str">
        <f>'base data'!A11</f>
        <v>X...journal.of.neurological.surgery.part.b.skull.base</v>
      </c>
      <c r="B11" t="str">
        <f>'base data'!D11</f>
        <v xml:space="preserve">1.26 (0.71,2.25) </v>
      </c>
      <c r="C11">
        <f>'base data'!E11</f>
        <v>0.42499999999999999</v>
      </c>
    </row>
    <row r="12" spans="1:3" x14ac:dyDescent="0.25">
      <c r="A12" t="str">
        <f>'base data'!A12</f>
        <v>X...journal.of.neurooncology</v>
      </c>
      <c r="B12" t="str">
        <f>'base data'!D12</f>
        <v xml:space="preserve">1.12 (0.66,1.91) </v>
      </c>
      <c r="C12">
        <f>'base data'!E12</f>
        <v>0.66800000000000004</v>
      </c>
    </row>
    <row r="13" spans="1:3" x14ac:dyDescent="0.25">
      <c r="A13" t="str">
        <f>'base data'!A13</f>
        <v>X...journal.of.neurosurgery</v>
      </c>
      <c r="B13" t="str">
        <f>'base data'!D13</f>
        <v xml:space="preserve">0.88 (0.56,1.39) </v>
      </c>
      <c r="C13">
        <f>'base data'!E13</f>
        <v>0.57899999999999996</v>
      </c>
    </row>
    <row r="14" spans="1:3" x14ac:dyDescent="0.25">
      <c r="A14" t="str">
        <f>'base data'!A14</f>
        <v>X...journal.of.neurosurgery.pediatrics</v>
      </c>
      <c r="B14" t="str">
        <f>'base data'!D14</f>
        <v xml:space="preserve">1.72 (1.09,2.73) </v>
      </c>
      <c r="C14">
        <f>'base data'!E14</f>
        <v>0.02</v>
      </c>
    </row>
    <row r="15" spans="1:3" x14ac:dyDescent="0.25">
      <c r="A15" t="str">
        <f>'base data'!A15</f>
        <v>X...journal.of.neurosurgery.spine</v>
      </c>
      <c r="B15" t="str">
        <f>'base data'!D15</f>
        <v xml:space="preserve">0.67 (0.41,1.09) </v>
      </c>
      <c r="C15">
        <f>'base data'!E15</f>
        <v>0.109</v>
      </c>
    </row>
    <row r="16" spans="1:3" x14ac:dyDescent="0.25">
      <c r="A16" t="str">
        <f>'base data'!A16</f>
        <v>X...lancet</v>
      </c>
      <c r="B16" t="str">
        <f>'base data'!D16</f>
        <v xml:space="preserve">0.93 (0.11,7.76) </v>
      </c>
      <c r="C16">
        <f>'base data'!E16</f>
        <v>0.94499999999999995</v>
      </c>
    </row>
    <row r="17" spans="1:3" x14ac:dyDescent="0.25">
      <c r="A17" t="str">
        <f>'base data'!A17</f>
        <v>X...nature</v>
      </c>
      <c r="B17" t="str">
        <f>'base data'!D17</f>
        <v xml:space="preserve">0 (0,3.05883308644914e+152) </v>
      </c>
      <c r="C17">
        <f>'base data'!E17</f>
        <v>0.95299999999999996</v>
      </c>
    </row>
    <row r="18" spans="1:3" x14ac:dyDescent="0.25">
      <c r="A18" t="str">
        <f>'base data'!A18</f>
        <v>X...nature.medicine</v>
      </c>
      <c r="B18" t="str">
        <f>'base data'!D18</f>
        <v xml:space="preserve">0.82 (0.09,7.26) </v>
      </c>
      <c r="C18">
        <f>'base data'!E18</f>
        <v>0.86199999999999999</v>
      </c>
    </row>
    <row r="19" spans="1:3" x14ac:dyDescent="0.25">
      <c r="A19" t="str">
        <f>'base data'!A19</f>
        <v>X...neurosurgery</v>
      </c>
      <c r="B19" t="str">
        <f>'base data'!D19</f>
        <v xml:space="preserve">0.91 (0.58,1.42) </v>
      </c>
      <c r="C19">
        <f>'base data'!E19</f>
        <v>0.67700000000000005</v>
      </c>
    </row>
    <row r="20" spans="1:3" x14ac:dyDescent="0.25">
      <c r="A20" t="str">
        <f>'base data'!A20</f>
        <v>X...neurosurgical.focus</v>
      </c>
      <c r="B20" t="str">
        <f>'base data'!D20</f>
        <v xml:space="preserve">0.88 (0.55,1.41) </v>
      </c>
      <c r="C20">
        <f>'base data'!E20</f>
        <v>0.59099999999999997</v>
      </c>
    </row>
    <row r="21" spans="1:3" x14ac:dyDescent="0.25">
      <c r="A21" t="str">
        <f>'base data'!A21</f>
        <v>X...pediatric.neurosurgery</v>
      </c>
      <c r="B21" t="str">
        <f>'base data'!D21</f>
        <v xml:space="preserve">2.01 (1.09,3.68) </v>
      </c>
      <c r="C21">
        <f>'base data'!E21</f>
        <v>2.4E-2</v>
      </c>
    </row>
    <row r="22" spans="1:3" x14ac:dyDescent="0.25">
      <c r="A22" t="str">
        <f>'base data'!A22</f>
        <v>X...science</v>
      </c>
      <c r="B22" t="str">
        <f>'base data'!D22</f>
        <v xml:space="preserve">7.26 (0.44,120.91) </v>
      </c>
      <c r="C22">
        <f>'base data'!E22</f>
        <v>0.16700000000000001</v>
      </c>
    </row>
    <row r="23" spans="1:3" x14ac:dyDescent="0.25">
      <c r="A23" t="str">
        <f>'base data'!A23</f>
        <v>X...science.translational.medicine</v>
      </c>
      <c r="B23" t="str">
        <f>'base data'!D23</f>
        <v xml:space="preserve">0 (0,6.93754670969676e+154) </v>
      </c>
      <c r="C23">
        <f>'base data'!E23</f>
        <v>0.95599999999999996</v>
      </c>
    </row>
    <row r="24" spans="1:3" x14ac:dyDescent="0.25">
      <c r="A24" t="str">
        <f>'base data'!A24</f>
        <v>X...spine</v>
      </c>
      <c r="B24" t="str">
        <f>'base data'!D24</f>
        <v xml:space="preserve">0.53 (0.27,1.04) </v>
      </c>
      <c r="C24">
        <f>'base data'!E24</f>
        <v>6.4000000000000001E-2</v>
      </c>
    </row>
    <row r="25" spans="1:3" x14ac:dyDescent="0.25">
      <c r="A25" t="str">
        <f>'base data'!A25</f>
        <v>X...stereotactic.and.functional.neurosurgery</v>
      </c>
      <c r="B25" t="str">
        <f>'base data'!D25</f>
        <v xml:space="preserve">1.44 (0.73,2.83) </v>
      </c>
      <c r="C25">
        <f>'base data'!E25</f>
        <v>0.29199999999999998</v>
      </c>
    </row>
    <row r="26" spans="1:3" x14ac:dyDescent="0.25">
      <c r="A26" t="str">
        <f>'base data'!A26</f>
        <v>X...the.new.england.journal.of.medicine</v>
      </c>
      <c r="B26" t="str">
        <f>'base data'!D26</f>
        <v xml:space="preserve">1.05 (0.33,3.31) </v>
      </c>
      <c r="C26">
        <f>'base data'!E26</f>
        <v>0.93200000000000005</v>
      </c>
    </row>
    <row r="27" spans="1:3" x14ac:dyDescent="0.25">
      <c r="A27" t="str">
        <f>'base data'!A27</f>
        <v>X...world.neurosurgery</v>
      </c>
      <c r="B27" t="str">
        <f>'base data'!D27</f>
        <v xml:space="preserve">0.97 (0.62,1.5) </v>
      </c>
      <c r="C27">
        <f>'base data'!E27</f>
        <v>0.875</v>
      </c>
    </row>
    <row r="29" spans="1:3" x14ac:dyDescent="0.25">
      <c r="A29" t="str">
        <f>'base data'!A29</f>
        <v>la_gender</v>
      </c>
      <c r="B29" t="str">
        <f>'base data'!D29</f>
        <v xml:space="preserve">1.54 (1.29,1.83) </v>
      </c>
      <c r="C29" t="str">
        <f>'base data'!E29</f>
        <v>&lt; 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1852-069E-4169-BAE2-745D6E90C42A}">
  <sheetPr>
    <pageSetUpPr autoPageBreaks="0"/>
  </sheetPr>
  <dimension ref="E9:O36"/>
  <sheetViews>
    <sheetView topLeftCell="H9" workbookViewId="0">
      <selection activeCell="N11" sqref="N11"/>
    </sheetView>
  </sheetViews>
  <sheetFormatPr defaultRowHeight="15" x14ac:dyDescent="0.25"/>
  <cols>
    <col min="9" max="9" width="45.85546875" customWidth="1"/>
    <col min="10" max="10" width="99.7109375" customWidth="1"/>
    <col min="11" max="11" width="3.85546875" customWidth="1"/>
    <col min="12" max="12" width="6" customWidth="1"/>
    <col min="13" max="13" width="54.7109375" customWidth="1"/>
    <col min="14" max="14" width="30" customWidth="1"/>
  </cols>
  <sheetData>
    <row r="9" spans="5:15" ht="15.75" thickBot="1" x14ac:dyDescent="0.3"/>
    <row r="10" spans="5:15" ht="15.75" thickBot="1" x14ac:dyDescent="0.3">
      <c r="L10" s="28" t="s">
        <v>27</v>
      </c>
      <c r="M10" s="29"/>
      <c r="N10" s="9" t="s">
        <v>25</v>
      </c>
      <c r="O10" s="10" t="s">
        <v>26</v>
      </c>
    </row>
    <row r="11" spans="5:15" ht="15.75" thickBot="1" x14ac:dyDescent="0.3">
      <c r="J11" t="s">
        <v>1</v>
      </c>
      <c r="L11" s="30" t="str">
        <f>PROPER(J11)</f>
        <v>Female Last Author</v>
      </c>
      <c r="M11" s="31"/>
      <c r="N11" s="6" t="str">
        <f>'base cleaned'!B29</f>
        <v xml:space="preserve">1.54 (1.29,1.83) </v>
      </c>
      <c r="O11" s="6" t="str">
        <f>'base cleaned'!C29</f>
        <v>&lt; 0.001</v>
      </c>
    </row>
    <row r="12" spans="5:15" ht="15.75" thickBot="1" x14ac:dyDescent="0.3">
      <c r="J12" t="s">
        <v>2</v>
      </c>
      <c r="L12" s="30" t="str">
        <f>PROPER(J12)</f>
        <v>Year (Continuous)</v>
      </c>
      <c r="M12" s="31"/>
      <c r="N12" s="6" t="str">
        <f>'base cleaned'!B2</f>
        <v xml:space="preserve">1.08 (1.06,1.1) </v>
      </c>
      <c r="O12" s="6" t="str">
        <f>'base cleaned'!C2</f>
        <v>&lt; 0.001</v>
      </c>
    </row>
    <row r="13" spans="5:15" x14ac:dyDescent="0.25">
      <c r="J13" t="s">
        <v>3</v>
      </c>
      <c r="L13" s="32" t="str">
        <f>PROPER(J13)</f>
        <v>Journal (Acta Neurochirurgica Baseline)</v>
      </c>
      <c r="M13" s="33"/>
      <c r="N13" s="5"/>
      <c r="O13" s="1"/>
    </row>
    <row r="14" spans="5:15" x14ac:dyDescent="0.25">
      <c r="E14" t="str">
        <f>'base cleaned'!A5</f>
        <v>X...epilepsia</v>
      </c>
      <c r="J14" t="str">
        <f>_xlfn.XLOOKUP(E14,'j name table'!B:B,'j name table'!D:D)</f>
        <v xml:space="preserve">	Epilepsia</v>
      </c>
      <c r="K14" s="14" t="b">
        <v>0</v>
      </c>
      <c r="L14" s="2"/>
      <c r="M14" t="str">
        <f t="shared" ref="M14:M35" si="0">PROPER(J14)</f>
        <v xml:space="preserve">	Epilepsia</v>
      </c>
      <c r="N14" s="7" t="str">
        <f>'base cleaned'!B5</f>
        <v xml:space="preserve">1.15 (0.48,2.79) </v>
      </c>
      <c r="O14" s="7">
        <f>'base cleaned'!C5</f>
        <v>0.752</v>
      </c>
    </row>
    <row r="15" spans="5:15" x14ac:dyDescent="0.25">
      <c r="E15" t="str">
        <f>'base cleaned'!A6</f>
        <v>X...jama</v>
      </c>
      <c r="J15" t="str">
        <f>_xlfn.XLOOKUP(E15,'j name table'!B:B,'j name table'!D:D)</f>
        <v>Jama</v>
      </c>
      <c r="K15" s="14" t="b">
        <v>0</v>
      </c>
      <c r="L15" s="2"/>
      <c r="M15" t="str">
        <f t="shared" si="0"/>
        <v>Jama</v>
      </c>
      <c r="N15" s="7" t="str">
        <f>'base cleaned'!B6</f>
        <v xml:space="preserve">0.44 (0.06,3.52) </v>
      </c>
      <c r="O15" s="7">
        <f>'base cleaned'!C6</f>
        <v>0.439</v>
      </c>
    </row>
    <row r="16" spans="5:15" x14ac:dyDescent="0.25">
      <c r="E16" t="str">
        <f>'base cleaned'!A7</f>
        <v>X...jama.surgery</v>
      </c>
      <c r="J16" t="str">
        <f>_xlfn.XLOOKUP(E16,'j name table'!B:B,'j name table'!D:D)</f>
        <v>Jama Surgery</v>
      </c>
      <c r="K16" s="14" t="b">
        <v>0</v>
      </c>
      <c r="L16" s="2"/>
      <c r="M16" t="str">
        <f t="shared" si="0"/>
        <v>Jama Surgery</v>
      </c>
      <c r="N16" s="7" t="str">
        <f>'base cleaned'!B7</f>
        <v xml:space="preserve">0.9 (0.19,4.4) </v>
      </c>
      <c r="O16" s="7">
        <f>'base cleaned'!C7</f>
        <v>0.89900000000000002</v>
      </c>
    </row>
    <row r="17" spans="5:15" x14ac:dyDescent="0.25">
      <c r="E17" t="str">
        <f>'base cleaned'!A8</f>
        <v>X...journal.of.cerebrovascular.and.endovascular.neurosurgery</v>
      </c>
      <c r="J17" t="str">
        <f>_xlfn.XLOOKUP(E17,'j name table'!B:B,'j name table'!D:D)</f>
        <v>Journal Of Cerebrovascular And Endovascular Neurosurgery</v>
      </c>
      <c r="K17" s="14" t="b">
        <v>0</v>
      </c>
      <c r="L17" s="2"/>
      <c r="M17" t="str">
        <f t="shared" si="0"/>
        <v>Journal Of Cerebrovascular And Endovascular Neurosurgery</v>
      </c>
      <c r="N17" s="7" t="str">
        <f>'base cleaned'!B8</f>
        <v xml:space="preserve">1.02 (0.35,2.91) </v>
      </c>
      <c r="O17" s="7">
        <f>'base cleaned'!C8</f>
        <v>0.97799999999999998</v>
      </c>
    </row>
    <row r="18" spans="5:15" x14ac:dyDescent="0.25">
      <c r="E18" t="str">
        <f>'base cleaned'!A9</f>
        <v>X...journal.of.clinical.neuroscience..official.journal.of.the.neurosurgical.society.of.australasia</v>
      </c>
      <c r="J18" t="str">
        <f>_xlfn.XLOOKUP(E18,'j name table'!B:B,'j name table'!D:D)</f>
        <v>Journal Of Clinical Neuroscience</v>
      </c>
      <c r="K18" s="14" t="b">
        <v>0</v>
      </c>
      <c r="L18" s="2"/>
      <c r="M18" t="str">
        <f t="shared" si="0"/>
        <v>Journal Of Clinical Neuroscience</v>
      </c>
      <c r="N18" s="7" t="str">
        <f>'base cleaned'!B9</f>
        <v xml:space="preserve">0.97 (0.59,1.58) </v>
      </c>
      <c r="O18" s="7">
        <f>'base cleaned'!C9</f>
        <v>0.89200000000000002</v>
      </c>
    </row>
    <row r="19" spans="5:15" x14ac:dyDescent="0.25">
      <c r="E19" t="str">
        <f>'base cleaned'!A10</f>
        <v>X...journal.of.neuro.interventional.surgery</v>
      </c>
      <c r="J19" t="str">
        <f>_xlfn.XLOOKUP(E19,'j name table'!B:B,'j name table'!D:D)</f>
        <v>Journal Of Neuro Interventional Surgery</v>
      </c>
      <c r="K19" s="14" t="b">
        <v>0</v>
      </c>
      <c r="L19" s="2"/>
      <c r="M19" t="str">
        <f t="shared" si="0"/>
        <v>Journal Of Neuro Interventional Surgery</v>
      </c>
      <c r="N19" s="7" t="str">
        <f>'base cleaned'!B10</f>
        <v xml:space="preserve">0.46 (0.26,0.83) </v>
      </c>
      <c r="O19" s="7">
        <f>'base cleaned'!C10</f>
        <v>8.9999999999999993E-3</v>
      </c>
    </row>
    <row r="20" spans="5:15" x14ac:dyDescent="0.25">
      <c r="E20" t="str">
        <f>'base cleaned'!A11</f>
        <v>X...journal.of.neurological.surgery.part.b.skull.base</v>
      </c>
      <c r="J20" t="str">
        <f>_xlfn.XLOOKUP(E20,'j name table'!B:B,'j name table'!D:D)</f>
        <v>Journal Of Neurological Surgery Part B: Skull Base</v>
      </c>
      <c r="K20" s="14" t="b">
        <v>0</v>
      </c>
      <c r="L20" s="2"/>
      <c r="M20" t="str">
        <f t="shared" si="0"/>
        <v>Journal Of Neurological Surgery Part B: Skull Base</v>
      </c>
      <c r="N20" s="7" t="str">
        <f>'base cleaned'!B11</f>
        <v xml:space="preserve">1.26 (0.71,2.25) </v>
      </c>
      <c r="O20" s="7">
        <f>'base cleaned'!C11</f>
        <v>0.42499999999999999</v>
      </c>
    </row>
    <row r="21" spans="5:15" x14ac:dyDescent="0.25">
      <c r="E21" t="str">
        <f>'base cleaned'!A12</f>
        <v>X...journal.of.neurooncology</v>
      </c>
      <c r="J21" t="str">
        <f>_xlfn.XLOOKUP(E21,'j name table'!B:B,'j name table'!D:D)</f>
        <v>Journal Of Neurooncology</v>
      </c>
      <c r="K21" s="14" t="b">
        <v>0</v>
      </c>
      <c r="L21" s="2"/>
      <c r="M21" t="str">
        <f t="shared" si="0"/>
        <v>Journal Of Neurooncology</v>
      </c>
      <c r="N21" s="7" t="str">
        <f>'base cleaned'!B12</f>
        <v xml:space="preserve">1.12 (0.66,1.91) </v>
      </c>
      <c r="O21" s="7">
        <f>'base cleaned'!C12</f>
        <v>0.66800000000000004</v>
      </c>
    </row>
    <row r="22" spans="5:15" x14ac:dyDescent="0.25">
      <c r="E22" t="str">
        <f>'base cleaned'!A13</f>
        <v>X...journal.of.neurosurgery</v>
      </c>
      <c r="J22" t="str">
        <f>_xlfn.XLOOKUP(E22,'j name table'!B:B,'j name table'!D:D)</f>
        <v>Journal Of Neurosurgery</v>
      </c>
      <c r="K22" s="14" t="b">
        <v>0</v>
      </c>
      <c r="L22" s="2"/>
      <c r="M22" t="str">
        <f t="shared" si="0"/>
        <v>Journal Of Neurosurgery</v>
      </c>
      <c r="N22" s="7" t="str">
        <f>'base cleaned'!B13</f>
        <v xml:space="preserve">0.88 (0.56,1.39) </v>
      </c>
      <c r="O22" s="7">
        <f>'base cleaned'!C13</f>
        <v>0.57899999999999996</v>
      </c>
    </row>
    <row r="23" spans="5:15" x14ac:dyDescent="0.25">
      <c r="E23" t="str">
        <f>'base cleaned'!A14</f>
        <v>X...journal.of.neurosurgery.pediatrics</v>
      </c>
      <c r="J23" t="str">
        <f>_xlfn.XLOOKUP(E23,'j name table'!B:B,'j name table'!D:D)</f>
        <v>Journal Of Neurosurgery: Pediatrics</v>
      </c>
      <c r="K23" s="14" t="b">
        <v>0</v>
      </c>
      <c r="L23" s="2"/>
      <c r="M23" t="str">
        <f t="shared" si="0"/>
        <v>Journal Of Neurosurgery: Pediatrics</v>
      </c>
      <c r="N23" s="7" t="str">
        <f>'base cleaned'!B14</f>
        <v xml:space="preserve">1.72 (1.09,2.73) </v>
      </c>
      <c r="O23" s="7">
        <f>'base cleaned'!C14</f>
        <v>0.02</v>
      </c>
    </row>
    <row r="24" spans="5:15" x14ac:dyDescent="0.25">
      <c r="E24" t="str">
        <f>'base cleaned'!A15</f>
        <v>X...journal.of.neurosurgery.spine</v>
      </c>
      <c r="J24" t="str">
        <f>_xlfn.XLOOKUP(E24,'j name table'!B:B,'j name table'!D:D)</f>
        <v>Journal Of Neurosurgery: Spine</v>
      </c>
      <c r="K24" s="14" t="b">
        <v>0</v>
      </c>
      <c r="L24" s="2"/>
      <c r="M24" t="str">
        <f t="shared" si="0"/>
        <v>Journal Of Neurosurgery: Spine</v>
      </c>
      <c r="N24" s="7" t="str">
        <f>'base cleaned'!B15</f>
        <v xml:space="preserve">0.67 (0.41,1.09) </v>
      </c>
      <c r="O24" s="7">
        <f>'base cleaned'!C15</f>
        <v>0.109</v>
      </c>
    </row>
    <row r="25" spans="5:15" x14ac:dyDescent="0.25">
      <c r="E25" t="str">
        <f>'base cleaned'!A16</f>
        <v>X...lancet</v>
      </c>
      <c r="J25" t="str">
        <f>_xlfn.XLOOKUP(E25,'j name table'!B:B,'j name table'!D:D)</f>
        <v>Lancet</v>
      </c>
      <c r="K25" s="14" t="b">
        <v>0</v>
      </c>
      <c r="L25" s="2"/>
      <c r="M25" t="str">
        <f t="shared" si="0"/>
        <v>Lancet</v>
      </c>
      <c r="N25" s="7" t="str">
        <f>'base cleaned'!B16</f>
        <v xml:space="preserve">0.93 (0.11,7.76) </v>
      </c>
      <c r="O25" s="7">
        <f>'base cleaned'!C16</f>
        <v>0.94499999999999995</v>
      </c>
    </row>
    <row r="26" spans="5:15" x14ac:dyDescent="0.25">
      <c r="E26" t="str">
        <f>'base cleaned'!A17</f>
        <v>X...nature</v>
      </c>
      <c r="J26" t="str">
        <f>_xlfn.XLOOKUP(E26,'j name table'!B:B,'j name table'!D:D)</f>
        <v>Nature</v>
      </c>
      <c r="K26" s="14" t="b">
        <v>1</v>
      </c>
      <c r="L26" s="2"/>
      <c r="M26" t="str">
        <f t="shared" si="0"/>
        <v>Nature</v>
      </c>
      <c r="N26" s="7" t="str">
        <f>'base cleaned'!B17</f>
        <v xml:space="preserve">0 (0,3.05883308644914e+152) </v>
      </c>
      <c r="O26" s="7">
        <f>'base cleaned'!C17</f>
        <v>0.95299999999999996</v>
      </c>
    </row>
    <row r="27" spans="5:15" x14ac:dyDescent="0.25">
      <c r="E27" t="str">
        <f>'base cleaned'!A18</f>
        <v>X...nature.medicine</v>
      </c>
      <c r="J27" t="str">
        <f>_xlfn.XLOOKUP(E27,'j name table'!B:B,'j name table'!D:D)</f>
        <v>Nature Medicine</v>
      </c>
      <c r="K27" s="14" t="b">
        <v>0</v>
      </c>
      <c r="L27" s="2"/>
      <c r="M27" t="str">
        <f t="shared" si="0"/>
        <v>Nature Medicine</v>
      </c>
      <c r="N27" s="7" t="str">
        <f>'base cleaned'!B18</f>
        <v xml:space="preserve">0.82 (0.09,7.26) </v>
      </c>
      <c r="O27" s="7">
        <f>'base cleaned'!C18</f>
        <v>0.86199999999999999</v>
      </c>
    </row>
    <row r="28" spans="5:15" x14ac:dyDescent="0.25">
      <c r="E28" t="str">
        <f>'base cleaned'!A19</f>
        <v>X...neurosurgery</v>
      </c>
      <c r="J28" t="str">
        <f>_xlfn.XLOOKUP(E28,'j name table'!B:B,'j name table'!D:D)</f>
        <v>Neurosurgery</v>
      </c>
      <c r="K28" s="14" t="b">
        <v>0</v>
      </c>
      <c r="L28" s="2"/>
      <c r="M28" t="str">
        <f t="shared" si="0"/>
        <v>Neurosurgery</v>
      </c>
      <c r="N28" s="7" t="str">
        <f>'base cleaned'!B19</f>
        <v xml:space="preserve">0.91 (0.58,1.42) </v>
      </c>
      <c r="O28" s="7">
        <f>'base cleaned'!C19</f>
        <v>0.67700000000000005</v>
      </c>
    </row>
    <row r="29" spans="5:15" x14ac:dyDescent="0.25">
      <c r="E29" t="str">
        <f>'base cleaned'!A20</f>
        <v>X...neurosurgical.focus</v>
      </c>
      <c r="J29" t="str">
        <f>_xlfn.XLOOKUP(E29,'j name table'!B:B,'j name table'!D:D)</f>
        <v>Neurosurgical Focus</v>
      </c>
      <c r="K29" s="14" t="b">
        <v>0</v>
      </c>
      <c r="L29" s="2"/>
      <c r="M29" t="str">
        <f t="shared" si="0"/>
        <v>Neurosurgical Focus</v>
      </c>
      <c r="N29" s="7" t="str">
        <f>'base cleaned'!B20</f>
        <v xml:space="preserve">0.88 (0.55,1.41) </v>
      </c>
      <c r="O29" s="7">
        <f>'base cleaned'!C20</f>
        <v>0.59099999999999997</v>
      </c>
    </row>
    <row r="30" spans="5:15" x14ac:dyDescent="0.25">
      <c r="E30" t="str">
        <f>'base cleaned'!A21</f>
        <v>X...pediatric.neurosurgery</v>
      </c>
      <c r="J30" t="str">
        <f>_xlfn.XLOOKUP(E30,'j name table'!B:B,'j name table'!D:D)</f>
        <v>Pediatric Neurosurgery</v>
      </c>
      <c r="K30" s="14" t="b">
        <v>0</v>
      </c>
      <c r="L30" s="2"/>
      <c r="M30" t="str">
        <f t="shared" si="0"/>
        <v>Pediatric Neurosurgery</v>
      </c>
      <c r="N30" s="7" t="str">
        <f>'base cleaned'!B21</f>
        <v xml:space="preserve">2.01 (1.09,3.68) </v>
      </c>
      <c r="O30" s="7">
        <f>'base cleaned'!C21</f>
        <v>2.4E-2</v>
      </c>
    </row>
    <row r="31" spans="5:15" x14ac:dyDescent="0.25">
      <c r="E31" t="str">
        <f>'base cleaned'!A22</f>
        <v>X...science</v>
      </c>
      <c r="J31" t="str">
        <f>_xlfn.XLOOKUP(E31,'j name table'!B:B,'j name table'!D:D)</f>
        <v>Science</v>
      </c>
      <c r="K31" s="14" t="b">
        <v>0</v>
      </c>
      <c r="L31" s="2"/>
      <c r="M31" t="str">
        <f t="shared" si="0"/>
        <v>Science</v>
      </c>
      <c r="N31" s="7" t="str">
        <f>'base cleaned'!B22</f>
        <v xml:space="preserve">7.26 (0.44,120.91) </v>
      </c>
      <c r="O31" s="7">
        <f>'base cleaned'!C22</f>
        <v>0.16700000000000001</v>
      </c>
    </row>
    <row r="32" spans="5:15" x14ac:dyDescent="0.25">
      <c r="E32" t="str">
        <f>'base cleaned'!A23</f>
        <v>X...science.translational.medicine</v>
      </c>
      <c r="J32" t="str">
        <f>_xlfn.XLOOKUP(E32,'j name table'!B:B,'j name table'!D:D)</f>
        <v>Science Translational Medicine</v>
      </c>
      <c r="K32" s="14" t="b">
        <v>1</v>
      </c>
      <c r="L32" s="2"/>
      <c r="M32" t="str">
        <f t="shared" si="0"/>
        <v>Science Translational Medicine</v>
      </c>
      <c r="N32" s="7" t="str">
        <f>'base cleaned'!B23</f>
        <v xml:space="preserve">0 (0,6.93754670969676e+154) </v>
      </c>
      <c r="O32" s="7">
        <f>'base cleaned'!C23</f>
        <v>0.95599999999999996</v>
      </c>
    </row>
    <row r="33" spans="5:15" x14ac:dyDescent="0.25">
      <c r="E33" t="str">
        <f>'base cleaned'!A24</f>
        <v>X...spine</v>
      </c>
      <c r="J33" t="str">
        <f>_xlfn.XLOOKUP(E33,'j name table'!B:B,'j name table'!D:D)</f>
        <v>Spine</v>
      </c>
      <c r="K33" s="14" t="b">
        <v>0</v>
      </c>
      <c r="L33" s="2"/>
      <c r="M33" t="str">
        <f t="shared" si="0"/>
        <v>Spine</v>
      </c>
      <c r="N33" s="7" t="str">
        <f>'base cleaned'!B24</f>
        <v xml:space="preserve">0.53 (0.27,1.04) </v>
      </c>
      <c r="O33" s="7">
        <f>'base cleaned'!C24</f>
        <v>6.4000000000000001E-2</v>
      </c>
    </row>
    <row r="34" spans="5:15" x14ac:dyDescent="0.25">
      <c r="E34" t="str">
        <f>'base cleaned'!A25</f>
        <v>X...stereotactic.and.functional.neurosurgery</v>
      </c>
      <c r="J34" t="str">
        <f>_xlfn.XLOOKUP(E34,'j name table'!B:B,'j name table'!D:D)</f>
        <v>Stereotactic And Functional Neurosurgery</v>
      </c>
      <c r="K34" s="14" t="b">
        <v>0</v>
      </c>
      <c r="L34" s="2"/>
      <c r="M34" t="str">
        <f t="shared" si="0"/>
        <v>Stereotactic And Functional Neurosurgery</v>
      </c>
      <c r="N34" s="7" t="str">
        <f>'base cleaned'!B25</f>
        <v xml:space="preserve">1.44 (0.73,2.83) </v>
      </c>
      <c r="O34" s="7">
        <f>'base cleaned'!C25</f>
        <v>0.29199999999999998</v>
      </c>
    </row>
    <row r="35" spans="5:15" ht="15.75" thickBot="1" x14ac:dyDescent="0.3">
      <c r="E35" t="str">
        <f>'base cleaned'!A26</f>
        <v>X...the.new.england.journal.of.medicine</v>
      </c>
      <c r="J35" t="str">
        <f>_xlfn.XLOOKUP(E35,'j name table'!B:B,'j name table'!D:D)</f>
        <v>The New England Journal Of Medicine</v>
      </c>
      <c r="K35" s="14" t="b">
        <v>0</v>
      </c>
      <c r="L35" s="3"/>
      <c r="M35" s="4" t="str">
        <f t="shared" si="0"/>
        <v>The New England Journal Of Medicine</v>
      </c>
      <c r="N35" s="7" t="str">
        <f>'base cleaned'!B26</f>
        <v xml:space="preserve">1.05 (0.33,3.31) </v>
      </c>
      <c r="O35" s="7">
        <f>'base cleaned'!C26</f>
        <v>0.93200000000000005</v>
      </c>
    </row>
    <row r="36" spans="5:15" ht="15.75" thickBot="1" x14ac:dyDescent="0.3">
      <c r="E36" t="str">
        <f>'base cleaned'!A27</f>
        <v>X...world.neurosurgery</v>
      </c>
      <c r="J36" t="str">
        <f>_xlfn.XLOOKUP(E36,'j name table'!B:B,'j name table'!D:D)</f>
        <v>World Neurosurgery</v>
      </c>
      <c r="K36" s="14" t="b">
        <v>0</v>
      </c>
      <c r="L36" s="3"/>
      <c r="M36" s="4" t="str">
        <f t="shared" ref="M36" si="1">PROPER(J36)</f>
        <v>World Neurosurgery</v>
      </c>
      <c r="N36" s="7" t="str">
        <f>'base cleaned'!B27</f>
        <v xml:space="preserve">0.97 (0.62,1.5) </v>
      </c>
      <c r="O36" s="7">
        <f>'base cleaned'!C27</f>
        <v>0.875</v>
      </c>
    </row>
  </sheetData>
  <mergeCells count="4">
    <mergeCell ref="L10:M10"/>
    <mergeCell ref="L11:M11"/>
    <mergeCell ref="L12:M12"/>
    <mergeCell ref="L13:M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E8F3-286F-4B8E-9D39-8C00F65B3943}">
  <sheetPr>
    <pageSetUpPr autoPageBreaks="0"/>
  </sheetPr>
  <dimension ref="K9:N36"/>
  <sheetViews>
    <sheetView topLeftCell="D7" workbookViewId="0">
      <selection activeCell="O9" sqref="O9:P9"/>
    </sheetView>
  </sheetViews>
  <sheetFormatPr defaultRowHeight="15" x14ac:dyDescent="0.25"/>
  <cols>
    <col min="10" max="10" width="99.7109375" customWidth="1"/>
    <col min="11" max="11" width="6" customWidth="1"/>
    <col min="12" max="12" width="54.7109375" customWidth="1"/>
    <col min="13" max="13" width="22" customWidth="1"/>
  </cols>
  <sheetData>
    <row r="9" spans="11:14" ht="15.75" thickBot="1" x14ac:dyDescent="0.3"/>
    <row r="10" spans="11:14" ht="15.75" thickBot="1" x14ac:dyDescent="0.3">
      <c r="K10" s="28" t="s">
        <v>27</v>
      </c>
      <c r="L10" s="29"/>
      <c r="M10" s="9" t="s">
        <v>25</v>
      </c>
      <c r="N10" s="10" t="s">
        <v>26</v>
      </c>
    </row>
    <row r="11" spans="11:14" ht="15.75" thickBot="1" x14ac:dyDescent="0.3">
      <c r="K11" s="30" t="str">
        <f>Original!L11</f>
        <v>Female Last Author</v>
      </c>
      <c r="L11" s="31"/>
      <c r="M11" s="6" t="str">
        <f>Original!N11</f>
        <v xml:space="preserve">1.54 (1.29,1.83) </v>
      </c>
      <c r="N11" s="6" t="str">
        <f>Original!O11</f>
        <v>&lt; 0.001</v>
      </c>
    </row>
    <row r="12" spans="11:14" ht="15.75" thickBot="1" x14ac:dyDescent="0.3">
      <c r="K12" s="30" t="str">
        <f>Original!L12</f>
        <v>Year (Continuous)</v>
      </c>
      <c r="L12" s="31"/>
      <c r="M12" s="6" t="str">
        <f>Original!N12</f>
        <v xml:space="preserve">1.08 (1.06,1.1) </v>
      </c>
      <c r="N12" s="6" t="str">
        <f>Original!O12</f>
        <v>&lt; 0.001</v>
      </c>
    </row>
    <row r="13" spans="11:14" x14ac:dyDescent="0.25">
      <c r="K13" s="32" t="str">
        <f>PROPER(J13)</f>
        <v/>
      </c>
      <c r="L13" s="33"/>
      <c r="M13" s="5"/>
      <c r="N13" s="1"/>
    </row>
    <row r="14" spans="11:14" x14ac:dyDescent="0.25">
      <c r="K14" s="2"/>
      <c r="L14" t="str" cm="1">
        <f t="array" ref="L14:L36">Table1[Proper]</f>
        <v>Nature</v>
      </c>
      <c r="M14" s="7" t="str">
        <f>_xlfn.XLOOKUP(L14,Original!M:M, Original!N:N)</f>
        <v xml:space="preserve">0 (0,3.05883308644914e+152) </v>
      </c>
      <c r="N14" s="8">
        <f>_xlfn.XLOOKUP(L14,Original!M:M, Original!O:O)</f>
        <v>0.95299999999999996</v>
      </c>
    </row>
    <row r="15" spans="11:14" x14ac:dyDescent="0.25">
      <c r="K15" s="2"/>
      <c r="L15" t="str">
        <v>Science</v>
      </c>
      <c r="M15" s="7" t="str">
        <f>_xlfn.XLOOKUP(L15,Original!M:M, Original!N:N)</f>
        <v xml:space="preserve">7.26 (0.44,120.91) </v>
      </c>
      <c r="N15" s="8">
        <f>_xlfn.XLOOKUP(L15,Original!M:M, Original!O:O)</f>
        <v>0.16700000000000001</v>
      </c>
    </row>
    <row r="16" spans="11:14" x14ac:dyDescent="0.25">
      <c r="K16" s="2"/>
      <c r="L16" t="str">
        <v>Jama</v>
      </c>
      <c r="M16" s="7" t="str">
        <f>_xlfn.XLOOKUP(L16,Original!M:M, Original!N:N)</f>
        <v xml:space="preserve">0.44 (0.06,3.52) </v>
      </c>
      <c r="N16" s="8">
        <f>_xlfn.XLOOKUP(L16,Original!M:M, Original!O:O)</f>
        <v>0.439</v>
      </c>
    </row>
    <row r="17" spans="11:14" x14ac:dyDescent="0.25">
      <c r="K17" s="2"/>
      <c r="L17" t="str">
        <v>Jama Surgery</v>
      </c>
      <c r="M17" s="7" t="str">
        <f>_xlfn.XLOOKUP(L17,Original!M:M, Original!N:N)</f>
        <v xml:space="preserve">0.9 (0.19,4.4) </v>
      </c>
      <c r="N17" s="8">
        <f>_xlfn.XLOOKUP(L17,Original!M:M, Original!O:O)</f>
        <v>0.89900000000000002</v>
      </c>
    </row>
    <row r="18" spans="11:14" x14ac:dyDescent="0.25">
      <c r="K18" s="11"/>
      <c r="L18" t="str">
        <v>Lancet</v>
      </c>
      <c r="M18" s="7" t="str">
        <f>_xlfn.XLOOKUP(L18,Original!M:M, Original!N:N)</f>
        <v xml:space="preserve">0.93 (0.11,7.76) </v>
      </c>
      <c r="N18" s="8">
        <f>_xlfn.XLOOKUP(L18,Original!M:M, Original!O:O)</f>
        <v>0.94499999999999995</v>
      </c>
    </row>
    <row r="19" spans="11:14" x14ac:dyDescent="0.25">
      <c r="K19" s="2"/>
      <c r="L19" t="str">
        <v>Nature Medicine</v>
      </c>
      <c r="M19" s="7" t="str">
        <f>_xlfn.XLOOKUP(L19,Original!M:M, Original!N:N)</f>
        <v xml:space="preserve">0.82 (0.09,7.26) </v>
      </c>
      <c r="N19" s="8">
        <f>_xlfn.XLOOKUP(L19,Original!M:M, Original!O:O)</f>
        <v>0.86199999999999999</v>
      </c>
    </row>
    <row r="20" spans="11:14" x14ac:dyDescent="0.25">
      <c r="K20" s="2"/>
      <c r="L20" t="str">
        <v>Science Translational Medicine</v>
      </c>
      <c r="M20" s="7" t="str">
        <f>_xlfn.XLOOKUP(L20,Original!M:M, Original!N:N)</f>
        <v xml:space="preserve">0 (0,6.93754670969676e+154) </v>
      </c>
      <c r="N20" s="8">
        <f>_xlfn.XLOOKUP(L20,Original!M:M, Original!O:O)</f>
        <v>0.95599999999999996</v>
      </c>
    </row>
    <row r="21" spans="11:14" x14ac:dyDescent="0.25">
      <c r="K21" s="2"/>
      <c r="L21" t="str">
        <v>The New England Journal Of Medicine</v>
      </c>
      <c r="M21" s="7" t="str">
        <f>_xlfn.XLOOKUP(L21,Original!M:M, Original!N:N)</f>
        <v xml:space="preserve">1.05 (0.33,3.31) </v>
      </c>
      <c r="N21" s="8">
        <f>_xlfn.XLOOKUP(L21,Original!M:M, Original!O:O)</f>
        <v>0.93200000000000005</v>
      </c>
    </row>
    <row r="22" spans="11:14" x14ac:dyDescent="0.25">
      <c r="K22" s="2"/>
      <c r="L22" t="str">
        <v xml:space="preserve">	Epilepsia</v>
      </c>
      <c r="M22" s="7" t="str">
        <f>_xlfn.XLOOKUP(L22,Original!M:M, Original!N:N)</f>
        <v xml:space="preserve">1.15 (0.48,2.79) </v>
      </c>
      <c r="N22" s="8">
        <f>_xlfn.XLOOKUP(L22,Original!M:M, Original!O:O)</f>
        <v>0.752</v>
      </c>
    </row>
    <row r="23" spans="11:14" x14ac:dyDescent="0.25">
      <c r="K23" s="2"/>
      <c r="L23" t="str">
        <v>Journal Of Clinical Neuroscience</v>
      </c>
      <c r="M23" s="7" t="str">
        <f>_xlfn.XLOOKUP(L23,Original!M:M, Original!N:N)</f>
        <v xml:space="preserve">0.97 (0.59,1.58) </v>
      </c>
      <c r="N23" s="8">
        <f>_xlfn.XLOOKUP(L23,Original!M:M, Original!O:O)</f>
        <v>0.89200000000000002</v>
      </c>
    </row>
    <row r="24" spans="11:14" x14ac:dyDescent="0.25">
      <c r="K24" s="2"/>
      <c r="L24" t="str">
        <v>Journal Of Neurooncology</v>
      </c>
      <c r="M24" s="7" t="str">
        <f>_xlfn.XLOOKUP(L24,Original!M:M, Original!N:N)</f>
        <v xml:space="preserve">1.12 (0.66,1.91) </v>
      </c>
      <c r="N24" s="8">
        <f>_xlfn.XLOOKUP(L24,Original!M:M, Original!O:O)</f>
        <v>0.66800000000000004</v>
      </c>
    </row>
    <row r="25" spans="11:14" x14ac:dyDescent="0.25">
      <c r="K25" s="2"/>
      <c r="L25" t="str">
        <v>Spine</v>
      </c>
      <c r="M25" s="7" t="str">
        <f>_xlfn.XLOOKUP(L25,Original!M:M, Original!N:N)</f>
        <v xml:space="preserve">0.53 (0.27,1.04) </v>
      </c>
      <c r="N25" s="8">
        <f>_xlfn.XLOOKUP(L25,Original!M:M, Original!O:O)</f>
        <v>6.4000000000000001E-2</v>
      </c>
    </row>
    <row r="26" spans="11:14" x14ac:dyDescent="0.25">
      <c r="K26" s="2"/>
      <c r="L26" t="str">
        <v>Journal Of Cerebrovascular And Endovascular Neurosurgery</v>
      </c>
      <c r="M26" s="7" t="str">
        <f>_xlfn.XLOOKUP(L26,Original!M:M, Original!N:N)</f>
        <v xml:space="preserve">1.02 (0.35,2.91) </v>
      </c>
      <c r="N26" s="8">
        <f>_xlfn.XLOOKUP(L26,Original!M:M, Original!O:O)</f>
        <v>0.97799999999999998</v>
      </c>
    </row>
    <row r="27" spans="11:14" x14ac:dyDescent="0.25">
      <c r="K27" s="2"/>
      <c r="L27" t="str">
        <v>Journal Of Neuro Interventional Surgery</v>
      </c>
      <c r="M27" s="7" t="str">
        <f>_xlfn.XLOOKUP(L27,Original!M:M, Original!N:N)</f>
        <v xml:space="preserve">0.46 (0.26,0.83) </v>
      </c>
      <c r="N27" s="8">
        <f>_xlfn.XLOOKUP(L27,Original!M:M, Original!O:O)</f>
        <v>8.9999999999999993E-3</v>
      </c>
    </row>
    <row r="28" spans="11:14" x14ac:dyDescent="0.25">
      <c r="K28" s="11"/>
      <c r="L28" t="str">
        <v>Journal Of Neurological Surgery Part B: Skull Base</v>
      </c>
      <c r="M28" s="7" t="str">
        <f>_xlfn.XLOOKUP(L28,Original!M:M, Original!N:N)</f>
        <v xml:space="preserve">1.26 (0.71,2.25) </v>
      </c>
      <c r="N28" s="8">
        <f>_xlfn.XLOOKUP(L28,Original!M:M, Original!O:O)</f>
        <v>0.42499999999999999</v>
      </c>
    </row>
    <row r="29" spans="11:14" x14ac:dyDescent="0.25">
      <c r="K29" s="2"/>
      <c r="L29" t="str">
        <v>Journal Of Neurosurgery</v>
      </c>
      <c r="M29" s="7" t="str">
        <f>_xlfn.XLOOKUP(L29,Original!M:M, Original!N:N)</f>
        <v xml:space="preserve">0.88 (0.56,1.39) </v>
      </c>
      <c r="N29" s="8">
        <f>_xlfn.XLOOKUP(L29,Original!M:M, Original!O:O)</f>
        <v>0.57899999999999996</v>
      </c>
    </row>
    <row r="30" spans="11:14" x14ac:dyDescent="0.25">
      <c r="K30" s="2"/>
      <c r="L30" t="str">
        <v>Journal Of Neurosurgery: Pediatrics</v>
      </c>
      <c r="M30" s="7" t="str">
        <f>_xlfn.XLOOKUP(L30,Original!M:M, Original!N:N)</f>
        <v xml:space="preserve">1.72 (1.09,2.73) </v>
      </c>
      <c r="N30" s="8">
        <f>_xlfn.XLOOKUP(L30,Original!M:M, Original!O:O)</f>
        <v>0.02</v>
      </c>
    </row>
    <row r="31" spans="11:14" x14ac:dyDescent="0.25">
      <c r="K31" s="2"/>
      <c r="L31" t="str">
        <v>Journal Of Neurosurgery: Spine</v>
      </c>
      <c r="M31" s="7" t="str">
        <f>_xlfn.XLOOKUP(L31,Original!M:M, Original!N:N)</f>
        <v xml:space="preserve">0.67 (0.41,1.09) </v>
      </c>
      <c r="N31" s="8">
        <f>_xlfn.XLOOKUP(L31,Original!M:M, Original!O:O)</f>
        <v>0.109</v>
      </c>
    </row>
    <row r="32" spans="11:14" x14ac:dyDescent="0.25">
      <c r="K32" s="2"/>
      <c r="L32" t="str">
        <v>Neurosurgery</v>
      </c>
      <c r="M32" s="7" t="str">
        <f>_xlfn.XLOOKUP(L32,Original!M:M, Original!N:N)</f>
        <v xml:space="preserve">0.91 (0.58,1.42) </v>
      </c>
      <c r="N32" s="8">
        <f>_xlfn.XLOOKUP(L32,Original!M:M, Original!O:O)</f>
        <v>0.67700000000000005</v>
      </c>
    </row>
    <row r="33" spans="11:14" x14ac:dyDescent="0.25">
      <c r="K33" s="2"/>
      <c r="L33" t="str">
        <v>Neurosurgical Focus</v>
      </c>
      <c r="M33" s="7" t="str">
        <f>_xlfn.XLOOKUP(L33,Original!M:M, Original!N:N)</f>
        <v xml:space="preserve">0.88 (0.55,1.41) </v>
      </c>
      <c r="N33" s="8">
        <f>_xlfn.XLOOKUP(L33,Original!M:M, Original!O:O)</f>
        <v>0.59099999999999997</v>
      </c>
    </row>
    <row r="34" spans="11:14" x14ac:dyDescent="0.25">
      <c r="K34" s="2"/>
      <c r="L34" t="str">
        <v>Pediatric Neurosurgery</v>
      </c>
      <c r="M34" s="7" t="str">
        <f>_xlfn.XLOOKUP(L34,Original!M:M, Original!N:N)</f>
        <v xml:space="preserve">2.01 (1.09,3.68) </v>
      </c>
      <c r="N34" s="8">
        <f>_xlfn.XLOOKUP(L34,Original!M:M, Original!O:O)</f>
        <v>2.4E-2</v>
      </c>
    </row>
    <row r="35" spans="11:14" ht="15.75" thickBot="1" x14ac:dyDescent="0.3">
      <c r="K35" s="3"/>
      <c r="L35" t="str">
        <v>Stereotactic And Functional Neurosurgery</v>
      </c>
      <c r="M35" s="7" t="str">
        <f>_xlfn.XLOOKUP(L35,Original!M:M, Original!N:N)</f>
        <v xml:space="preserve">1.44 (0.73,2.83) </v>
      </c>
      <c r="N35" s="8">
        <f>_xlfn.XLOOKUP(L35,Original!M:M, Original!O:O)</f>
        <v>0.29199999999999998</v>
      </c>
    </row>
    <row r="36" spans="11:14" x14ac:dyDescent="0.25">
      <c r="L36" t="str">
        <v>World Neurosurgery</v>
      </c>
      <c r="M36" s="7" t="str">
        <f>_xlfn.XLOOKUP(L36,Original!M:M, Original!N:N)</f>
        <v xml:space="preserve">0.97 (0.62,1.5) </v>
      </c>
      <c r="N36" s="8">
        <f>_xlfn.XLOOKUP(L36,Original!M:M, Original!O:O)</f>
        <v>0.875</v>
      </c>
    </row>
  </sheetData>
  <mergeCells count="4">
    <mergeCell ref="K10:L10"/>
    <mergeCell ref="K11:L11"/>
    <mergeCell ref="K12:L12"/>
    <mergeCell ref="K13:L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BBEA-2CEA-42B8-A834-88122EE37A1A}">
  <sheetPr>
    <pageSetUpPr autoPageBreaks="0"/>
  </sheetPr>
  <dimension ref="J9:N39"/>
  <sheetViews>
    <sheetView topLeftCell="D7" workbookViewId="0">
      <selection activeCell="S18" sqref="S18"/>
    </sheetView>
  </sheetViews>
  <sheetFormatPr defaultRowHeight="15" x14ac:dyDescent="0.25"/>
  <cols>
    <col min="10" max="10" width="13.28515625" customWidth="1"/>
    <col min="11" max="11" width="6" customWidth="1"/>
    <col min="12" max="12" width="54.7109375" customWidth="1"/>
    <col min="13" max="13" width="22" customWidth="1"/>
  </cols>
  <sheetData>
    <row r="9" spans="10:14" ht="15.75" thickBot="1" x14ac:dyDescent="0.3"/>
    <row r="10" spans="10:14" ht="15.75" thickBot="1" x14ac:dyDescent="0.3">
      <c r="K10" s="28" t="s">
        <v>27</v>
      </c>
      <c r="L10" s="29"/>
      <c r="M10" s="9" t="s">
        <v>25</v>
      </c>
      <c r="N10" s="10" t="s">
        <v>26</v>
      </c>
    </row>
    <row r="11" spans="10:14" ht="15.75" thickBot="1" x14ac:dyDescent="0.3">
      <c r="K11" s="30" t="str">
        <f>'Re-ordered'!K11</f>
        <v>Female Last Author</v>
      </c>
      <c r="L11" s="31"/>
      <c r="M11" s="6" t="str">
        <f>'Re-ordered'!M11</f>
        <v xml:space="preserve">1.54 (1.29,1.83) </v>
      </c>
      <c r="N11" s="6" t="str">
        <f>'Re-ordered'!N11</f>
        <v>&lt; 0.001</v>
      </c>
    </row>
    <row r="12" spans="10:14" ht="15.75" thickBot="1" x14ac:dyDescent="0.3">
      <c r="K12" s="30" t="str">
        <f>'Re-ordered'!K12</f>
        <v>Year (Continuous)</v>
      </c>
      <c r="L12" s="31"/>
      <c r="M12" s="6" t="str">
        <f>'Re-ordered'!M12</f>
        <v xml:space="preserve">1.08 (1.06,1.1) </v>
      </c>
      <c r="N12" s="6" t="str">
        <f>'Re-ordered'!N12</f>
        <v>&lt; 0.001</v>
      </c>
    </row>
    <row r="13" spans="10:14" x14ac:dyDescent="0.25">
      <c r="K13" s="32" t="str">
        <f>Original!L13</f>
        <v>Journal (Acta Neurochirurgica Baseline)</v>
      </c>
      <c r="L13" s="33"/>
      <c r="M13" s="5"/>
      <c r="N13" s="1"/>
    </row>
    <row r="14" spans="10:14" x14ac:dyDescent="0.25">
      <c r="J14" s="14" t="b">
        <v>1</v>
      </c>
      <c r="K14" s="2"/>
      <c r="L14" t="str">
        <f>IF(NOT($J14),'Re-ordered'!L14,"")</f>
        <v/>
      </c>
      <c r="M14" t="str">
        <f>IF(NOT($J14),'Re-ordered'!M14,"")</f>
        <v/>
      </c>
      <c r="N14" t="str">
        <f>IF(NOT($J14),'Re-ordered'!N14,"")</f>
        <v/>
      </c>
    </row>
    <row r="15" spans="10:14" x14ac:dyDescent="0.25">
      <c r="J15" s="14" t="b">
        <v>0</v>
      </c>
      <c r="K15" s="2"/>
      <c r="L15" t="str">
        <f>IF(NOT($J15),'Re-ordered'!L15,"")</f>
        <v>Science</v>
      </c>
      <c r="M15" t="str">
        <f>IF(NOT($J15),'Re-ordered'!M15,"")</f>
        <v xml:space="preserve">7.26 (0.44,120.91) </v>
      </c>
      <c r="N15">
        <f>IF(NOT($J15),'Re-ordered'!N15,"")</f>
        <v>0.16700000000000001</v>
      </c>
    </row>
    <row r="16" spans="10:14" x14ac:dyDescent="0.25">
      <c r="J16" s="14" t="b">
        <v>0</v>
      </c>
      <c r="K16" s="2"/>
      <c r="L16" t="str">
        <f>IF(NOT($J16),'Re-ordered'!L16,"")</f>
        <v>Jama</v>
      </c>
      <c r="M16" t="str">
        <f>IF(NOT($J16),'Re-ordered'!M16,"")</f>
        <v xml:space="preserve">0.44 (0.06,3.52) </v>
      </c>
      <c r="N16">
        <f>IF(NOT($J16),'Re-ordered'!N16,"")</f>
        <v>0.439</v>
      </c>
    </row>
    <row r="17" spans="10:14" x14ac:dyDescent="0.25">
      <c r="J17" s="14" t="b">
        <v>0</v>
      </c>
      <c r="K17" s="2"/>
      <c r="L17" t="str">
        <f>IF(NOT($J17),'Re-ordered'!L17,"")</f>
        <v>Jama Surgery</v>
      </c>
      <c r="M17" t="str">
        <f>IF(NOT($J17),'Re-ordered'!M17,"")</f>
        <v xml:space="preserve">0.9 (0.19,4.4) </v>
      </c>
      <c r="N17">
        <f>IF(NOT($J17),'Re-ordered'!N17,"")</f>
        <v>0.89900000000000002</v>
      </c>
    </row>
    <row r="18" spans="10:14" x14ac:dyDescent="0.25">
      <c r="J18" s="14" t="b">
        <v>0</v>
      </c>
      <c r="K18" s="11"/>
      <c r="L18" t="str">
        <f>IF(NOT($J18),'Re-ordered'!L18,"")</f>
        <v>Lancet</v>
      </c>
      <c r="M18" t="str">
        <f>IF(NOT($J18),'Re-ordered'!M18,"")</f>
        <v xml:space="preserve">0.93 (0.11,7.76) </v>
      </c>
      <c r="N18">
        <f>IF(NOT($J18),'Re-ordered'!N18,"")</f>
        <v>0.94499999999999995</v>
      </c>
    </row>
    <row r="19" spans="10:14" x14ac:dyDescent="0.25">
      <c r="J19" s="14" t="b">
        <v>0</v>
      </c>
      <c r="K19" s="2"/>
      <c r="L19" t="str">
        <f>IF(NOT($J19),'Re-ordered'!L19,"")</f>
        <v>Nature Medicine</v>
      </c>
      <c r="M19" t="str">
        <f>IF(NOT($J19),'Re-ordered'!M19,"")</f>
        <v xml:space="preserve">0.82 (0.09,7.26) </v>
      </c>
      <c r="N19">
        <f>IF(NOT($J19),'Re-ordered'!N19,"")</f>
        <v>0.86199999999999999</v>
      </c>
    </row>
    <row r="20" spans="10:14" x14ac:dyDescent="0.25">
      <c r="J20" s="14" t="b">
        <v>1</v>
      </c>
      <c r="K20" s="2"/>
      <c r="L20" t="str">
        <f>IF(NOT($J20),'Re-ordered'!L20,"")</f>
        <v/>
      </c>
      <c r="M20" t="str">
        <f>IF(NOT($J20),'Re-ordered'!M20,"")</f>
        <v/>
      </c>
      <c r="N20" t="str">
        <f>IF(NOT($J20),'Re-ordered'!N20,"")</f>
        <v/>
      </c>
    </row>
    <row r="21" spans="10:14" x14ac:dyDescent="0.25">
      <c r="J21" s="14" t="b">
        <v>0</v>
      </c>
      <c r="K21" s="2"/>
      <c r="L21" t="str">
        <f>IF(NOT($J21),'Re-ordered'!L21,"")</f>
        <v>The New England Journal Of Medicine</v>
      </c>
      <c r="M21" t="str">
        <f>IF(NOT($J21),'Re-ordered'!M21,"")</f>
        <v xml:space="preserve">1.05 (0.33,3.31) </v>
      </c>
      <c r="N21">
        <f>IF(NOT($J21),'Re-ordered'!N21,"")</f>
        <v>0.93200000000000005</v>
      </c>
    </row>
    <row r="22" spans="10:14" x14ac:dyDescent="0.25">
      <c r="J22" s="14" t="b">
        <v>0</v>
      </c>
      <c r="K22" s="2"/>
      <c r="L22" t="str">
        <f>IF(NOT($J22),'Re-ordered'!L22,"")</f>
        <v xml:space="preserve">	Epilepsia</v>
      </c>
      <c r="M22" t="str">
        <f>IF(NOT($J22),'Re-ordered'!M22,"")</f>
        <v xml:space="preserve">1.15 (0.48,2.79) </v>
      </c>
      <c r="N22">
        <f>IF(NOT($J22),'Re-ordered'!N22,"")</f>
        <v>0.752</v>
      </c>
    </row>
    <row r="23" spans="10:14" x14ac:dyDescent="0.25">
      <c r="J23" s="14" t="b">
        <v>0</v>
      </c>
      <c r="K23" s="2"/>
      <c r="L23" t="str">
        <f>IF(NOT($J23),'Re-ordered'!L23,"")</f>
        <v>Journal Of Clinical Neuroscience</v>
      </c>
      <c r="M23" t="str">
        <f>IF(NOT($J23),'Re-ordered'!M23,"")</f>
        <v xml:space="preserve">0.97 (0.59,1.58) </v>
      </c>
      <c r="N23">
        <f>IF(NOT($J23),'Re-ordered'!N23,"")</f>
        <v>0.89200000000000002</v>
      </c>
    </row>
    <row r="24" spans="10:14" x14ac:dyDescent="0.25">
      <c r="J24" s="14" t="b">
        <v>0</v>
      </c>
      <c r="K24" s="2"/>
      <c r="L24" t="str">
        <f>IF(NOT($J24),'Re-ordered'!L24,"")</f>
        <v>Journal Of Neurooncology</v>
      </c>
      <c r="M24" t="str">
        <f>IF(NOT($J24),'Re-ordered'!M24,"")</f>
        <v xml:space="preserve">1.12 (0.66,1.91) </v>
      </c>
      <c r="N24">
        <f>IF(NOT($J24),'Re-ordered'!N24,"")</f>
        <v>0.66800000000000004</v>
      </c>
    </row>
    <row r="25" spans="10:14" x14ac:dyDescent="0.25">
      <c r="J25" s="14" t="b">
        <v>0</v>
      </c>
      <c r="K25" s="2"/>
      <c r="L25" t="str">
        <f>IF(NOT($J25),'Re-ordered'!L25,"")</f>
        <v>Spine</v>
      </c>
      <c r="M25" t="str">
        <f>IF(NOT($J25),'Re-ordered'!M25,"")</f>
        <v xml:space="preserve">0.53 (0.27,1.04) </v>
      </c>
      <c r="N25">
        <f>IF(NOT($J25),'Re-ordered'!N25,"")</f>
        <v>6.4000000000000001E-2</v>
      </c>
    </row>
    <row r="26" spans="10:14" x14ac:dyDescent="0.25">
      <c r="J26" s="14" t="b">
        <v>0</v>
      </c>
      <c r="K26" s="2"/>
      <c r="L26" t="str">
        <f>IF(NOT($J26),'Re-ordered'!L26,"")</f>
        <v>Journal Of Cerebrovascular And Endovascular Neurosurgery</v>
      </c>
      <c r="M26" t="str">
        <f>IF(NOT($J26),'Re-ordered'!M26,"")</f>
        <v xml:space="preserve">1.02 (0.35,2.91) </v>
      </c>
      <c r="N26">
        <f>IF(NOT($J26),'Re-ordered'!N26,"")</f>
        <v>0.97799999999999998</v>
      </c>
    </row>
    <row r="27" spans="10:14" x14ac:dyDescent="0.25">
      <c r="J27" s="14" t="b">
        <v>0</v>
      </c>
      <c r="K27" s="2"/>
      <c r="L27" t="str">
        <f>IF(NOT($J27),'Re-ordered'!L27,"")</f>
        <v>Journal Of Neuro Interventional Surgery</v>
      </c>
      <c r="M27" t="str">
        <f>IF(NOT($J27),'Re-ordered'!M27,"")</f>
        <v xml:space="preserve">0.46 (0.26,0.83) </v>
      </c>
      <c r="N27">
        <f>IF(NOT($J27),'Re-ordered'!N27,"")</f>
        <v>8.9999999999999993E-3</v>
      </c>
    </row>
    <row r="28" spans="10:14" x14ac:dyDescent="0.25">
      <c r="J28" s="14" t="b">
        <v>0</v>
      </c>
      <c r="K28" s="11"/>
      <c r="L28" t="str">
        <f>IF(NOT($J28),'Re-ordered'!L28,"")</f>
        <v>Journal Of Neurological Surgery Part B: Skull Base</v>
      </c>
      <c r="M28" t="str">
        <f>IF(NOT($J28),'Re-ordered'!M28,"")</f>
        <v xml:space="preserve">1.26 (0.71,2.25) </v>
      </c>
      <c r="N28">
        <f>IF(NOT($J28),'Re-ordered'!N28,"")</f>
        <v>0.42499999999999999</v>
      </c>
    </row>
    <row r="29" spans="10:14" x14ac:dyDescent="0.25">
      <c r="J29" s="14" t="b">
        <v>0</v>
      </c>
      <c r="K29" s="2"/>
      <c r="L29" t="str">
        <f>IF(NOT($J29),'Re-ordered'!L29,"")</f>
        <v>Journal Of Neurosurgery</v>
      </c>
      <c r="M29" t="str">
        <f>IF(NOT($J29),'Re-ordered'!M29,"")</f>
        <v xml:space="preserve">0.88 (0.56,1.39) </v>
      </c>
      <c r="N29">
        <f>IF(NOT($J29),'Re-ordered'!N29,"")</f>
        <v>0.57899999999999996</v>
      </c>
    </row>
    <row r="30" spans="10:14" x14ac:dyDescent="0.25">
      <c r="J30" s="14" t="b">
        <v>0</v>
      </c>
      <c r="K30" s="2"/>
      <c r="L30" t="str">
        <f>IF(NOT($J30),'Re-ordered'!L30,"")</f>
        <v>Journal Of Neurosurgery: Pediatrics</v>
      </c>
      <c r="M30" t="str">
        <f>IF(NOT($J30),'Re-ordered'!M30,"")</f>
        <v xml:space="preserve">1.72 (1.09,2.73) </v>
      </c>
      <c r="N30">
        <f>IF(NOT($J30),'Re-ordered'!N30,"")</f>
        <v>0.02</v>
      </c>
    </row>
    <row r="31" spans="10:14" x14ac:dyDescent="0.25">
      <c r="J31" s="14" t="b">
        <v>0</v>
      </c>
      <c r="K31" s="2"/>
      <c r="L31" t="str">
        <f>IF(NOT($J31),'Re-ordered'!L31,"")</f>
        <v>Journal Of Neurosurgery: Spine</v>
      </c>
      <c r="M31" t="str">
        <f>IF(NOT($J31),'Re-ordered'!M31,"")</f>
        <v xml:space="preserve">0.67 (0.41,1.09) </v>
      </c>
      <c r="N31">
        <f>IF(NOT($J31),'Re-ordered'!N31,"")</f>
        <v>0.109</v>
      </c>
    </row>
    <row r="32" spans="10:14" x14ac:dyDescent="0.25">
      <c r="J32" s="14" t="b">
        <v>0</v>
      </c>
      <c r="K32" s="2"/>
      <c r="L32" t="str">
        <f>IF(NOT($J32),'Re-ordered'!L32,"")</f>
        <v>Neurosurgery</v>
      </c>
      <c r="M32" t="str">
        <f>IF(NOT($J32),'Re-ordered'!M32,"")</f>
        <v xml:space="preserve">0.91 (0.58,1.42) </v>
      </c>
      <c r="N32">
        <f>IF(NOT($J32),'Re-ordered'!N32,"")</f>
        <v>0.67700000000000005</v>
      </c>
    </row>
    <row r="33" spans="10:14" x14ac:dyDescent="0.25">
      <c r="J33" s="14" t="b">
        <v>0</v>
      </c>
      <c r="K33" s="2"/>
      <c r="L33" t="str">
        <f>IF(NOT($J33),'Re-ordered'!L33,"")</f>
        <v>Neurosurgical Focus</v>
      </c>
      <c r="M33" t="str">
        <f>IF(NOT($J33),'Re-ordered'!M33,"")</f>
        <v xml:space="preserve">0.88 (0.55,1.41) </v>
      </c>
      <c r="N33">
        <f>IF(NOT($J33),'Re-ordered'!N33,"")</f>
        <v>0.59099999999999997</v>
      </c>
    </row>
    <row r="34" spans="10:14" x14ac:dyDescent="0.25">
      <c r="J34" s="14" t="b">
        <v>0</v>
      </c>
      <c r="K34" s="2"/>
      <c r="L34" t="str">
        <f>IF(NOT($J34),'Re-ordered'!L34,"")</f>
        <v>Pediatric Neurosurgery</v>
      </c>
      <c r="M34" t="str">
        <f>IF(NOT($J34),'Re-ordered'!M34,"")</f>
        <v xml:space="preserve">2.01 (1.09,3.68) </v>
      </c>
      <c r="N34">
        <f>IF(NOT($J34),'Re-ordered'!N34,"")</f>
        <v>2.4E-2</v>
      </c>
    </row>
    <row r="35" spans="10:14" ht="15.75" thickBot="1" x14ac:dyDescent="0.3">
      <c r="J35" s="14" t="b">
        <v>0</v>
      </c>
      <c r="K35" s="3"/>
      <c r="L35" t="str">
        <f>IF(NOT($J35),'Re-ordered'!L35,"")</f>
        <v>Stereotactic And Functional Neurosurgery</v>
      </c>
      <c r="M35" t="str">
        <f>IF(NOT($J35),'Re-ordered'!M35,"")</f>
        <v xml:space="preserve">1.44 (0.73,2.83) </v>
      </c>
      <c r="N35">
        <f>IF(NOT($J35),'Re-ordered'!N35,"")</f>
        <v>0.29199999999999998</v>
      </c>
    </row>
    <row r="36" spans="10:14" x14ac:dyDescent="0.25">
      <c r="J36" s="14" t="b">
        <v>0</v>
      </c>
      <c r="L36" t="str">
        <f>IF(NOT($J36),'Re-ordered'!L36,"")</f>
        <v>World Neurosurgery</v>
      </c>
      <c r="M36" t="str">
        <f>IF(NOT($J36),'Re-ordered'!M36,"")</f>
        <v xml:space="preserve">0.97 (0.62,1.5) </v>
      </c>
      <c r="N36">
        <f>IF(NOT($J36),'Re-ordered'!N36,"")</f>
        <v>0.875</v>
      </c>
    </row>
    <row r="37" spans="10:14" x14ac:dyDescent="0.25">
      <c r="J37" s="14" t="b">
        <v>0</v>
      </c>
      <c r="L37">
        <f>IF(NOT($J37),'Re-ordered'!L37,"")</f>
        <v>0</v>
      </c>
      <c r="M37">
        <f>IF(NOT($J37),'Re-ordered'!M37,"")</f>
        <v>0</v>
      </c>
      <c r="N37">
        <f>IF(NOT($J37),'Re-ordered'!N37,"")</f>
        <v>0</v>
      </c>
    </row>
    <row r="38" spans="10:14" x14ac:dyDescent="0.25">
      <c r="L38">
        <f>IF(NOT($J38),'Re-ordered'!L38,"")</f>
        <v>0</v>
      </c>
      <c r="M38">
        <f>IF(NOT($J38),'Re-ordered'!M38,"")</f>
        <v>0</v>
      </c>
      <c r="N38">
        <f>IF(NOT($J38),'Re-ordered'!N38,"")</f>
        <v>0</v>
      </c>
    </row>
    <row r="39" spans="10:14" x14ac:dyDescent="0.25">
      <c r="L39">
        <f>IF(NOT($J39),'Re-ordered'!L39,"")</f>
        <v>0</v>
      </c>
      <c r="M39">
        <f>IF(NOT($J39),'Re-ordered'!M39,"")</f>
        <v>0</v>
      </c>
      <c r="N39">
        <f>IF(NOT($J39),'Re-ordered'!N39,"")</f>
        <v>0</v>
      </c>
    </row>
  </sheetData>
  <mergeCells count="4">
    <mergeCell ref="K10:L10"/>
    <mergeCell ref="K11:L11"/>
    <mergeCell ref="K12:L12"/>
    <mergeCell ref="K13:L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F41F-9C48-413E-816F-1597A9A6C732}">
  <sheetPr>
    <pageSetUpPr autoPageBreaks="0"/>
  </sheetPr>
  <dimension ref="J9:N35"/>
  <sheetViews>
    <sheetView showGridLines="0" tabSelected="1" topLeftCell="D7" workbookViewId="0">
      <selection activeCell="Q21" sqref="Q21"/>
    </sheetView>
  </sheetViews>
  <sheetFormatPr defaultRowHeight="15" x14ac:dyDescent="0.25"/>
  <cols>
    <col min="10" max="10" width="39.85546875" customWidth="1"/>
    <col min="11" max="11" width="6" customWidth="1"/>
    <col min="12" max="12" width="54.7109375" customWidth="1"/>
    <col min="13" max="13" width="22" style="18" customWidth="1"/>
    <col min="14" max="14" width="9.140625" style="18"/>
  </cols>
  <sheetData>
    <row r="9" spans="10:14" ht="15.75" thickBot="1" x14ac:dyDescent="0.3"/>
    <row r="10" spans="10:14" ht="15.75" thickBot="1" x14ac:dyDescent="0.3">
      <c r="K10" s="28" t="s">
        <v>27</v>
      </c>
      <c r="L10" s="29"/>
      <c r="M10" s="15" t="s">
        <v>25</v>
      </c>
      <c r="N10" s="16" t="s">
        <v>26</v>
      </c>
    </row>
    <row r="11" spans="10:14" ht="15.75" thickBot="1" x14ac:dyDescent="0.3">
      <c r="K11" s="30" t="str">
        <f>'Re-ordered'!K11</f>
        <v>Female Last Author</v>
      </c>
      <c r="L11" s="31"/>
      <c r="M11" s="17" t="str">
        <f>'Re-ordered'!M11</f>
        <v xml:space="preserve">1.54 (1.29,1.83) </v>
      </c>
      <c r="N11" s="27" t="str">
        <f>'Re-ordered'!N11</f>
        <v>&lt; 0.001</v>
      </c>
    </row>
    <row r="12" spans="10:14" ht="15.75" thickBot="1" x14ac:dyDescent="0.3">
      <c r="K12" s="30" t="str">
        <f>'Re-ordered'!K12</f>
        <v>Year (Continuous)</v>
      </c>
      <c r="L12" s="31"/>
      <c r="M12" s="17" t="str">
        <f>'Re-ordered'!M12</f>
        <v xml:space="preserve">1.08 (1.06,1.1) </v>
      </c>
      <c r="N12" s="27" t="str">
        <f>'Re-ordered'!N12</f>
        <v>&lt; 0.001</v>
      </c>
    </row>
    <row r="13" spans="10:14" x14ac:dyDescent="0.25">
      <c r="K13" s="32" t="str">
        <f>Original!L13</f>
        <v>Journal (Acta Neurochirurgica Baseline)</v>
      </c>
      <c r="L13" s="33"/>
      <c r="M13" s="23"/>
      <c r="N13" s="20"/>
    </row>
    <row r="14" spans="10:14" x14ac:dyDescent="0.25">
      <c r="J14" t="str">
        <f>_xlfn.XLOOKUP(L14,'j name table'!D:D,'j name table'!C:C)</f>
        <v>gen</v>
      </c>
      <c r="K14" s="2"/>
      <c r="L14" t="str" cm="1">
        <f t="array" ref="L14:L34">_xlfn._xlws.FILTER(filter!L14:L36, filter!L14:L36&lt;&gt;"")</f>
        <v>Science</v>
      </c>
      <c r="M14" s="19" t="str" cm="1">
        <f t="array" ref="M14:M34">_xlfn._xlws.FILTER(filter!M14:M36, filter!M14:M36&lt;&gt;"")</f>
        <v xml:space="preserve">7.26 (0.44,120.91) </v>
      </c>
      <c r="N14" s="20" cm="1">
        <f t="array" ref="N14:N34">_xlfn._xlws.FILTER(filter!N14:N36, filter!N14:N36&lt;&gt;"")</f>
        <v>0.16700000000000001</v>
      </c>
    </row>
    <row r="15" spans="10:14" x14ac:dyDescent="0.25">
      <c r="J15" t="str">
        <f>_xlfn.XLOOKUP(L15,'j name table'!D:D,'j name table'!C:C)</f>
        <v>med</v>
      </c>
      <c r="K15" s="2"/>
      <c r="L15" t="str">
        <v>Jama</v>
      </c>
      <c r="M15" s="19" t="str">
        <v xml:space="preserve">0.44 (0.06,3.52) </v>
      </c>
      <c r="N15" s="20">
        <v>0.439</v>
      </c>
    </row>
    <row r="16" spans="10:14" x14ac:dyDescent="0.25">
      <c r="J16" t="str">
        <f>_xlfn.XLOOKUP(L16,'j name table'!D:D,'j name table'!C:C)</f>
        <v>med</v>
      </c>
      <c r="K16" s="2"/>
      <c r="L16" t="str">
        <v>Jama Surgery</v>
      </c>
      <c r="M16" s="19" t="str">
        <v xml:space="preserve">0.9 (0.19,4.4) </v>
      </c>
      <c r="N16" s="20">
        <v>0.89900000000000002</v>
      </c>
    </row>
    <row r="17" spans="10:14" x14ac:dyDescent="0.25">
      <c r="J17" t="str">
        <f>_xlfn.XLOOKUP(L17,'j name table'!D:D,'j name table'!C:C)</f>
        <v>med</v>
      </c>
      <c r="K17" s="2"/>
      <c r="L17" t="str">
        <v>Lancet</v>
      </c>
      <c r="M17" s="19" t="str">
        <v xml:space="preserve">0.93 (0.11,7.76) </v>
      </c>
      <c r="N17" s="20">
        <v>0.94499999999999995</v>
      </c>
    </row>
    <row r="18" spans="10:14" x14ac:dyDescent="0.25">
      <c r="J18" t="str">
        <f>_xlfn.XLOOKUP(L18,'j name table'!D:D,'j name table'!C:C)</f>
        <v>med</v>
      </c>
      <c r="K18" s="2"/>
      <c r="L18" t="str">
        <v>Nature Medicine</v>
      </c>
      <c r="M18" s="19" t="str">
        <v xml:space="preserve">0.82 (0.09,7.26) </v>
      </c>
      <c r="N18" s="20">
        <v>0.86199999999999999</v>
      </c>
    </row>
    <row r="19" spans="10:14" x14ac:dyDescent="0.25">
      <c r="J19" t="str">
        <f>_xlfn.XLOOKUP(L19,'j name table'!D:D,'j name table'!C:C)</f>
        <v>med</v>
      </c>
      <c r="K19" s="11"/>
      <c r="L19" s="12" t="str">
        <v>The New England Journal Of Medicine</v>
      </c>
      <c r="M19" s="24" t="str">
        <v xml:space="preserve">1.05 (0.33,3.31) </v>
      </c>
      <c r="N19" s="21">
        <v>0.93200000000000005</v>
      </c>
    </row>
    <row r="20" spans="10:14" x14ac:dyDescent="0.25">
      <c r="J20" t="str">
        <f>_xlfn.XLOOKUP(L20,'j name table'!D:D,'j name table'!C:C)</f>
        <v>neuro</v>
      </c>
      <c r="K20" s="2"/>
      <c r="L20" t="str">
        <v xml:space="preserve">	Epilepsia</v>
      </c>
      <c r="M20" s="19" t="str">
        <v xml:space="preserve">1.15 (0.48,2.79) </v>
      </c>
      <c r="N20" s="20">
        <v>0.752</v>
      </c>
    </row>
    <row r="21" spans="10:14" x14ac:dyDescent="0.25">
      <c r="J21" t="str">
        <f>_xlfn.XLOOKUP(L21,'j name table'!D:D,'j name table'!C:C)</f>
        <v>neuro</v>
      </c>
      <c r="K21" s="2"/>
      <c r="L21" t="str">
        <v>Journal Of Clinical Neuroscience</v>
      </c>
      <c r="M21" s="19" t="str">
        <v xml:space="preserve">0.97 (0.59,1.58) </v>
      </c>
      <c r="N21" s="20">
        <v>0.89200000000000002</v>
      </c>
    </row>
    <row r="22" spans="10:14" x14ac:dyDescent="0.25">
      <c r="J22" t="str">
        <f>_xlfn.XLOOKUP(L22,'j name table'!D:D,'j name table'!C:C)</f>
        <v>neuro</v>
      </c>
      <c r="K22" s="2"/>
      <c r="L22" t="str">
        <v>Journal Of Neurooncology</v>
      </c>
      <c r="M22" s="19" t="str">
        <v xml:space="preserve">1.12 (0.66,1.91) </v>
      </c>
      <c r="N22" s="20">
        <v>0.66800000000000004</v>
      </c>
    </row>
    <row r="23" spans="10:14" x14ac:dyDescent="0.25">
      <c r="J23" t="str">
        <f>_xlfn.XLOOKUP(L23,'j name table'!D:D,'j name table'!C:C)</f>
        <v>neuro</v>
      </c>
      <c r="K23" s="11"/>
      <c r="L23" s="12" t="str">
        <v>Spine</v>
      </c>
      <c r="M23" s="24" t="str">
        <v xml:space="preserve">0.53 (0.27,1.04) </v>
      </c>
      <c r="N23" s="21">
        <v>6.4000000000000001E-2</v>
      </c>
    </row>
    <row r="24" spans="10:14" x14ac:dyDescent="0.25">
      <c r="J24" t="str">
        <f>_xlfn.XLOOKUP(L24,'j name table'!D:D,'j name table'!C:C)</f>
        <v>nsurg</v>
      </c>
      <c r="K24" s="2"/>
      <c r="L24" t="str">
        <v>Journal Of Cerebrovascular And Endovascular Neurosurgery</v>
      </c>
      <c r="M24" s="19" t="str">
        <v xml:space="preserve">1.02 (0.35,2.91) </v>
      </c>
      <c r="N24" s="20">
        <v>0.97799999999999998</v>
      </c>
    </row>
    <row r="25" spans="10:14" x14ac:dyDescent="0.25">
      <c r="J25" t="str">
        <f>_xlfn.XLOOKUP(L25,'j name table'!D:D,'j name table'!C:C)</f>
        <v>nsurg</v>
      </c>
      <c r="K25" s="2"/>
      <c r="L25" t="str">
        <v>Journal Of Neuro Interventional Surgery</v>
      </c>
      <c r="M25" s="19" t="str">
        <v xml:space="preserve">0.46 (0.26,0.83) </v>
      </c>
      <c r="N25" s="20">
        <v>8.9999999999999993E-3</v>
      </c>
    </row>
    <row r="26" spans="10:14" x14ac:dyDescent="0.25">
      <c r="J26" t="str">
        <f>_xlfn.XLOOKUP(L26,'j name table'!D:D,'j name table'!C:C)</f>
        <v>nsurg</v>
      </c>
      <c r="K26" s="2"/>
      <c r="L26" t="str">
        <v>Journal Of Neurological Surgery Part B: Skull Base</v>
      </c>
      <c r="M26" s="19" t="str">
        <v xml:space="preserve">1.26 (0.71,2.25) </v>
      </c>
      <c r="N26" s="20">
        <v>0.42499999999999999</v>
      </c>
    </row>
    <row r="27" spans="10:14" x14ac:dyDescent="0.25">
      <c r="J27" t="str">
        <f>_xlfn.XLOOKUP(L27,'j name table'!D:D,'j name table'!C:C)</f>
        <v>nsurg</v>
      </c>
      <c r="K27" s="2"/>
      <c r="L27" t="str">
        <v>Journal Of Neurosurgery</v>
      </c>
      <c r="M27" s="19" t="str">
        <v xml:space="preserve">0.88 (0.56,1.39) </v>
      </c>
      <c r="N27" s="20">
        <v>0.57899999999999996</v>
      </c>
    </row>
    <row r="28" spans="10:14" x14ac:dyDescent="0.25">
      <c r="J28" t="str">
        <f>_xlfn.XLOOKUP(L28,'j name table'!D:D,'j name table'!C:C)</f>
        <v>nsurg</v>
      </c>
      <c r="K28" s="2"/>
      <c r="L28" t="str">
        <v>Journal Of Neurosurgery: Pediatrics</v>
      </c>
      <c r="M28" s="19" t="str">
        <v xml:space="preserve">1.72 (1.09,2.73) </v>
      </c>
      <c r="N28" s="20">
        <v>0.02</v>
      </c>
    </row>
    <row r="29" spans="10:14" x14ac:dyDescent="0.25">
      <c r="J29" t="str">
        <f>_xlfn.XLOOKUP(L29,'j name table'!D:D,'j name table'!C:C)</f>
        <v>nsurg</v>
      </c>
      <c r="K29" s="2"/>
      <c r="L29" t="str">
        <v>Journal Of Neurosurgery: Spine</v>
      </c>
      <c r="M29" s="19" t="str">
        <v xml:space="preserve">0.67 (0.41,1.09) </v>
      </c>
      <c r="N29" s="20">
        <v>0.109</v>
      </c>
    </row>
    <row r="30" spans="10:14" x14ac:dyDescent="0.25">
      <c r="J30" t="str">
        <f>_xlfn.XLOOKUP(L30,'j name table'!D:D,'j name table'!C:C)</f>
        <v>nsurg</v>
      </c>
      <c r="K30" s="2"/>
      <c r="L30" t="str">
        <v>Neurosurgery</v>
      </c>
      <c r="M30" s="19" t="str">
        <v xml:space="preserve">0.91 (0.58,1.42) </v>
      </c>
      <c r="N30" s="20">
        <v>0.67700000000000005</v>
      </c>
    </row>
    <row r="31" spans="10:14" x14ac:dyDescent="0.25">
      <c r="J31" t="str">
        <f>_xlfn.XLOOKUP(L31,'j name table'!D:D,'j name table'!C:C)</f>
        <v>nsurg</v>
      </c>
      <c r="K31" s="2"/>
      <c r="L31" t="str">
        <v>Neurosurgical Focus</v>
      </c>
      <c r="M31" s="19" t="str">
        <v xml:space="preserve">0.88 (0.55,1.41) </v>
      </c>
      <c r="N31" s="20">
        <v>0.59099999999999997</v>
      </c>
    </row>
    <row r="32" spans="10:14" x14ac:dyDescent="0.25">
      <c r="J32" t="str">
        <f>_xlfn.XLOOKUP(L32,'j name table'!D:D,'j name table'!C:C)</f>
        <v>nsurg</v>
      </c>
      <c r="K32" s="2"/>
      <c r="L32" t="str">
        <v>Pediatric Neurosurgery</v>
      </c>
      <c r="M32" s="19" t="str">
        <v xml:space="preserve">2.01 (1.09,3.68) </v>
      </c>
      <c r="N32" s="20">
        <v>2.4E-2</v>
      </c>
    </row>
    <row r="33" spans="10:14" x14ac:dyDescent="0.25">
      <c r="J33" t="str">
        <f>_xlfn.XLOOKUP(L33,'j name table'!D:D,'j name table'!C:C)</f>
        <v>nsurg</v>
      </c>
      <c r="K33" s="2"/>
      <c r="L33" t="str">
        <v>Stereotactic And Functional Neurosurgery</v>
      </c>
      <c r="M33" s="19" t="str">
        <v xml:space="preserve">1.44 (0.73,2.83) </v>
      </c>
      <c r="N33" s="20">
        <v>0.29199999999999998</v>
      </c>
    </row>
    <row r="34" spans="10:14" ht="15.75" thickBot="1" x14ac:dyDescent="0.3">
      <c r="J34" t="str">
        <f>_xlfn.XLOOKUP(L34,'j name table'!D:D,'j name table'!C:C)</f>
        <v>nsurg</v>
      </c>
      <c r="K34" s="3"/>
      <c r="L34" s="4" t="str">
        <v>World Neurosurgery</v>
      </c>
      <c r="M34" s="25" t="str">
        <v xml:space="preserve">0.97 (0.62,1.5) </v>
      </c>
      <c r="N34" s="22">
        <v>0.875</v>
      </c>
    </row>
    <row r="35" spans="10:14" x14ac:dyDescent="0.25">
      <c r="K35" s="26"/>
    </row>
  </sheetData>
  <mergeCells count="4">
    <mergeCell ref="K10:L10"/>
    <mergeCell ref="K11:L11"/>
    <mergeCell ref="K12:L12"/>
    <mergeCell ref="K13:L13"/>
  </mergeCells>
  <conditionalFormatting sqref="N14:N34">
    <cfRule type="cellIs" dxfId="0" priority="1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 name table</vt:lpstr>
      <vt:lpstr>base data</vt:lpstr>
      <vt:lpstr>base cleaned</vt:lpstr>
      <vt:lpstr>Original</vt:lpstr>
      <vt:lpstr>Re-ordered</vt:lpstr>
      <vt:lpstr>filter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Thallapureddy, Aneesh R</dc:creator>
  <cp:lastModifiedBy>Thallapureddy, Aneesh</cp:lastModifiedBy>
  <dcterms:created xsi:type="dcterms:W3CDTF">2024-08-15T05:51:05Z</dcterms:created>
  <dcterms:modified xsi:type="dcterms:W3CDTF">2026-08-04T05:05:57Z</dcterms:modified>
</cp:coreProperties>
</file>